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8470feeb9e1e90/Desktop/data analytics templates/"/>
    </mc:Choice>
  </mc:AlternateContent>
  <xr:revisionPtr revIDLastSave="0" documentId="8_{8177F5C4-0698-4E41-829C-DE65DF9C16F7}" xr6:coauthVersionLast="47" xr6:coauthVersionMax="47" xr10:uidLastSave="{00000000-0000-0000-0000-000000000000}"/>
  <bookViews>
    <workbookView xWindow="-108" yWindow="-108" windowWidth="23256" windowHeight="13896" xr2:uid="{A33B52C9-F59C-493B-BA76-0AD8C45CAB05}"/>
  </bookViews>
  <sheets>
    <sheet name="Dataset" sheetId="2" r:id="rId1"/>
    <sheet name="Instru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J4" i="2"/>
  <c r="K4" i="2" s="1"/>
  <c r="J5" i="2"/>
  <c r="K5" i="2" s="1"/>
  <c r="J6" i="2"/>
  <c r="K6" i="2" s="1"/>
  <c r="J7" i="2"/>
  <c r="K7" i="2" s="1"/>
  <c r="J8" i="2"/>
  <c r="L8" i="2" s="1"/>
  <c r="J9" i="2"/>
  <c r="L9" i="2" s="1"/>
  <c r="J10" i="2"/>
  <c r="L10" i="2" s="1"/>
  <c r="J11" i="2"/>
  <c r="L11" i="2" s="1"/>
  <c r="J12" i="2"/>
  <c r="J13" i="2"/>
  <c r="J14" i="2"/>
  <c r="J15" i="2"/>
  <c r="J16" i="2"/>
  <c r="K16" i="2" s="1"/>
  <c r="J17" i="2"/>
  <c r="K17" i="2" s="1"/>
  <c r="J18" i="2"/>
  <c r="K18" i="2" s="1"/>
  <c r="J19" i="2"/>
  <c r="K19" i="2" s="1"/>
  <c r="J20" i="2"/>
  <c r="L20" i="2" s="1"/>
  <c r="J21" i="2"/>
  <c r="L21" i="2" s="1"/>
  <c r="J22" i="2"/>
  <c r="L22" i="2" s="1"/>
  <c r="J3" i="2"/>
  <c r="L3" i="2" s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3" i="2"/>
  <c r="L14" i="2" l="1"/>
  <c r="M14" i="2" s="1"/>
  <c r="L13" i="2"/>
  <c r="M13" i="2" s="1"/>
  <c r="L15" i="2"/>
  <c r="M15" i="2" s="1"/>
  <c r="L12" i="2"/>
  <c r="M12" i="2" s="1"/>
  <c r="K15" i="2"/>
  <c r="L7" i="2"/>
  <c r="K14" i="2"/>
  <c r="L6" i="2"/>
  <c r="K13" i="2"/>
  <c r="L5" i="2"/>
  <c r="K12" i="2"/>
  <c r="L4" i="2"/>
  <c r="L19" i="2"/>
  <c r="M19" i="2" s="1"/>
  <c r="L18" i="2"/>
  <c r="M18" i="2" s="1"/>
  <c r="L17" i="2"/>
  <c r="M17" i="2" s="1"/>
  <c r="L16" i="2"/>
  <c r="M16" i="2" s="1"/>
  <c r="K11" i="2"/>
  <c r="M3" i="2"/>
  <c r="M11" i="2"/>
  <c r="K10" i="2"/>
  <c r="M22" i="2"/>
  <c r="M10" i="2"/>
  <c r="K9" i="2"/>
  <c r="M21" i="2"/>
  <c r="M9" i="2"/>
  <c r="K8" i="2"/>
  <c r="M20" i="2"/>
  <c r="M8" i="2"/>
  <c r="K3" i="2"/>
  <c r="M7" i="2"/>
  <c r="K22" i="2"/>
  <c r="M6" i="2"/>
  <c r="K21" i="2"/>
  <c r="M5" i="2"/>
  <c r="K20" i="2"/>
  <c r="M4" i="2"/>
</calcChain>
</file>

<file path=xl/sharedStrings.xml><?xml version="1.0" encoding="utf-8"?>
<sst xmlns="http://schemas.openxmlformats.org/spreadsheetml/2006/main" count="261" uniqueCount="187">
  <si>
    <t>First Name</t>
  </si>
  <si>
    <t>Last Name</t>
  </si>
  <si>
    <t>Salary</t>
  </si>
  <si>
    <t>Bonus</t>
  </si>
  <si>
    <t>Month</t>
  </si>
  <si>
    <t>Ravi</t>
  </si>
  <si>
    <t>Kumar</t>
  </si>
  <si>
    <t>Jan</t>
  </si>
  <si>
    <t>Sneha</t>
  </si>
  <si>
    <t>Rani</t>
  </si>
  <si>
    <t>Feb</t>
  </si>
  <si>
    <t>Ankit</t>
  </si>
  <si>
    <t>Verma</t>
  </si>
  <si>
    <t>Mar</t>
  </si>
  <si>
    <t>Priya</t>
  </si>
  <si>
    <t>Meena</t>
  </si>
  <si>
    <t>Apr</t>
  </si>
  <si>
    <t>Deepak</t>
  </si>
  <si>
    <t>Yadav</t>
  </si>
  <si>
    <t>May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</si>
  <si>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Full Name</t>
    </r>
  </si>
  <si>
    <r>
      <t xml:space="preserve">Combine First Name and Last Name manually for first row → </t>
    </r>
    <r>
      <rPr>
        <sz val="10"/>
        <color theme="1"/>
        <rFont val="Arial Unicode MS"/>
      </rPr>
      <t>Ravi Kumar</t>
    </r>
  </si>
  <si>
    <r>
      <t xml:space="preserve">Use </t>
    </r>
    <r>
      <rPr>
        <b/>
        <sz val="11"/>
        <color theme="1"/>
        <rFont val="Calibri"/>
        <family val="2"/>
        <scheme val="minor"/>
      </rPr>
      <t>Flash Fill (Ctrl + E)</t>
    </r>
    <r>
      <rPr>
        <sz val="11"/>
        <color theme="1"/>
        <rFont val="Calibri"/>
        <family val="2"/>
        <scheme val="minor"/>
      </rPr>
      <t xml:space="preserve"> to fill remaining rows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</si>
  <si>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Email</t>
    </r>
  </si>
  <si>
    <t>Format: firstname.lastname@gmail.com (Example: ravi.kumar@gmail.com)</t>
  </si>
  <si>
    <t>Use Flash Fill to complete all rows</t>
  </si>
  <si>
    <t>Task1:</t>
  </si>
  <si>
    <t>Task2:</t>
  </si>
  <si>
    <t>Task3:</t>
  </si>
  <si>
    <r>
      <t xml:space="preserve">Create a column </t>
    </r>
    <r>
      <rPr>
        <b/>
        <sz val="11"/>
        <color theme="1"/>
        <rFont val="Calibri"/>
        <family val="2"/>
        <scheme val="minor"/>
      </rPr>
      <t>Employee ID</t>
    </r>
  </si>
  <si>
    <r>
      <t xml:space="preserve">Start with </t>
    </r>
    <r>
      <rPr>
        <sz val="10"/>
        <color theme="1"/>
        <rFont val="Arial Unicode MS"/>
      </rPr>
      <t>EMP001</t>
    </r>
  </si>
  <si>
    <r>
      <t xml:space="preserve">Use </t>
    </r>
    <r>
      <rPr>
        <b/>
        <sz val="11"/>
        <color theme="1"/>
        <rFont val="Calibri"/>
        <family val="2"/>
        <scheme val="minor"/>
      </rPr>
      <t>Fill Series</t>
    </r>
    <r>
      <rPr>
        <sz val="11"/>
        <color theme="1"/>
        <rFont val="Calibri"/>
        <family val="2"/>
        <scheme val="minor"/>
      </rPr>
      <t xml:space="preserve"> to generate next values:</t>
    </r>
  </si>
  <si>
    <t>Task4:</t>
  </si>
  <si>
    <r>
      <t xml:space="preserve">Extend the Month column till </t>
    </r>
    <r>
      <rPr>
        <b/>
        <sz val="11"/>
        <color theme="1"/>
        <rFont val="Calibri"/>
        <family val="2"/>
        <scheme val="minor"/>
      </rPr>
      <t>December</t>
    </r>
  </si>
  <si>
    <r>
      <t xml:space="preserve">Use </t>
    </r>
    <r>
      <rPr>
        <b/>
        <sz val="11"/>
        <color theme="1"/>
        <rFont val="Calibri"/>
        <family val="2"/>
        <scheme val="minor"/>
      </rPr>
      <t>Fill Handle (drag)</t>
    </r>
    <r>
      <rPr>
        <sz val="11"/>
        <color theme="1"/>
        <rFont val="Calibri"/>
        <family val="2"/>
        <scheme val="minor"/>
      </rPr>
      <t xml:space="preserve"> to auto-fill months</t>
    </r>
  </si>
  <si>
    <t>Task5:</t>
  </si>
  <si>
    <t>Create the following columns:</t>
  </si>
  <si>
    <t>Total Salary</t>
  </si>
  <si>
    <t>Salary+ Bonus</t>
  </si>
  <si>
    <t>Annual Salary</t>
  </si>
  <si>
    <t>Total_salary*12</t>
  </si>
  <si>
    <t>Tax(10%)</t>
  </si>
  <si>
    <t>Total_salary*10%</t>
  </si>
  <si>
    <t>Final Salary after Tax</t>
  </si>
  <si>
    <t>Total_salary-Tax</t>
  </si>
  <si>
    <t>Task6:</t>
  </si>
  <si>
    <t>Increase bonus by 500 for all employees</t>
  </si>
  <si>
    <t>Create New Column as Updated Bonus</t>
  </si>
  <si>
    <t>Bonus+500</t>
  </si>
  <si>
    <t>Create a New Columns as Performance Score</t>
  </si>
  <si>
    <t>Salary/1000</t>
  </si>
  <si>
    <t>Create a new column as USER ID</t>
  </si>
  <si>
    <t>Create user id as (First 2 letters of First Name + Last 2 letters of Last Name): Ex: Ravi Kumar -- Raar</t>
  </si>
  <si>
    <t>Task7:</t>
  </si>
  <si>
    <t>Instructions</t>
  </si>
  <si>
    <t>Pooja</t>
  </si>
  <si>
    <t>Sharma</t>
  </si>
  <si>
    <t>Jun</t>
  </si>
  <si>
    <t>Kiran</t>
  </si>
  <si>
    <t>Reddy</t>
  </si>
  <si>
    <t>Jul</t>
  </si>
  <si>
    <t>Neha</t>
  </si>
  <si>
    <t>Singh</t>
  </si>
  <si>
    <t>Aug</t>
  </si>
  <si>
    <t>Rahul</t>
  </si>
  <si>
    <t>Das</t>
  </si>
  <si>
    <t>Sep</t>
  </si>
  <si>
    <t>Suresh</t>
  </si>
  <si>
    <t>Naidu</t>
  </si>
  <si>
    <t>Oct</t>
  </si>
  <si>
    <t>Kavya</t>
  </si>
  <si>
    <t>Iyer</t>
  </si>
  <si>
    <t>Nov</t>
  </si>
  <si>
    <t>Arjun</t>
  </si>
  <si>
    <t>Patel</t>
  </si>
  <si>
    <t>Dec</t>
  </si>
  <si>
    <t>Divya</t>
  </si>
  <si>
    <t>Nair</t>
  </si>
  <si>
    <t>Manoj</t>
  </si>
  <si>
    <t>Gupta</t>
  </si>
  <si>
    <t>Rekha</t>
  </si>
  <si>
    <t>Jain</t>
  </si>
  <si>
    <t>Vikas</t>
  </si>
  <si>
    <t>Shetty</t>
  </si>
  <si>
    <t>Pillai</t>
  </si>
  <si>
    <t>Ajay</t>
  </si>
  <si>
    <t>Kulkarni</t>
  </si>
  <si>
    <t>Swathi</t>
  </si>
  <si>
    <t>Rao</t>
  </si>
  <si>
    <t>Nikhil</t>
  </si>
  <si>
    <t>Choudhary</t>
  </si>
  <si>
    <t>Full Name</t>
  </si>
  <si>
    <t>Ravi Kumar</t>
  </si>
  <si>
    <t>Sneha Rani</t>
  </si>
  <si>
    <t>Ankit Verma</t>
  </si>
  <si>
    <t>Priya Meena</t>
  </si>
  <si>
    <t>Deepak Yadav</t>
  </si>
  <si>
    <t>Pooja Sharma</t>
  </si>
  <si>
    <t>Kiran Reddy</t>
  </si>
  <si>
    <t>Neha Singh</t>
  </si>
  <si>
    <t>Rahul Das</t>
  </si>
  <si>
    <t>Suresh Naidu</t>
  </si>
  <si>
    <t>Kavya Iyer</t>
  </si>
  <si>
    <t>Arjun Patel</t>
  </si>
  <si>
    <t>Divya Nair</t>
  </si>
  <si>
    <t>Manoj Gupta</t>
  </si>
  <si>
    <t>Rekha Jain</t>
  </si>
  <si>
    <t>Vikas Shetty</t>
  </si>
  <si>
    <t>Meena Pillai</t>
  </si>
  <si>
    <t>Ajay Kulkarni</t>
  </si>
  <si>
    <t>Swathi Rao</t>
  </si>
  <si>
    <t>Nikhil Choudhary</t>
  </si>
  <si>
    <t>gmail</t>
  </si>
  <si>
    <t xml:space="preserve">Ravikumar@gmail.com </t>
  </si>
  <si>
    <t>Sneharani@gmail.com</t>
  </si>
  <si>
    <t>Ankitverma@gmail.com</t>
  </si>
  <si>
    <t>Priyameena@gmail.com</t>
  </si>
  <si>
    <t>Deepakyadav@gmail.com</t>
  </si>
  <si>
    <t>Poojasharma@gmail.com</t>
  </si>
  <si>
    <t>Kiranreddy@gmail.com</t>
  </si>
  <si>
    <t>Nehasingh@gmail.com</t>
  </si>
  <si>
    <t>Rahuldas@gmail.com</t>
  </si>
  <si>
    <t>Sureshnaidu@gmail.com</t>
  </si>
  <si>
    <t>Kavyaiyer@gmail.com</t>
  </si>
  <si>
    <t>Arjunpatel@gmail.com</t>
  </si>
  <si>
    <t>Divyanair@gmail.com</t>
  </si>
  <si>
    <t>Manojgupta@gmail.com</t>
  </si>
  <si>
    <t>Rekhajain@gmail.com</t>
  </si>
  <si>
    <t>Vikasshetty@gmail.com</t>
  </si>
  <si>
    <t>Meenapillai@gmail.com</t>
  </si>
  <si>
    <t>Ajaykulkarni@gmail.com</t>
  </si>
  <si>
    <t>Swathirao@gmail.com</t>
  </si>
  <si>
    <t>Nikhilchoudhary@gmail.com</t>
  </si>
  <si>
    <t>EMP001</t>
  </si>
  <si>
    <t>EMP002</t>
  </si>
  <si>
    <t>EMP_ID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</si>
  <si>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</si>
  <si>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</si>
  <si>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</si>
  <si>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</si>
  <si>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</si>
  <si>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</si>
  <si>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</si>
  <si>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</si>
  <si>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</si>
  <si>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</si>
  <si>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</si>
  <si>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</si>
  <si>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</si>
  <si>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</si>
  <si>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</si>
  <si>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</si>
  <si>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</si>
  <si>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</si>
  <si>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Raar</t>
  </si>
  <si>
    <t>Snni</t>
  </si>
  <si>
    <t>Anrma</t>
  </si>
  <si>
    <t>Prena</t>
  </si>
  <si>
    <t>Dedav</t>
  </si>
  <si>
    <t>Poarma</t>
  </si>
  <si>
    <t>Kiddy</t>
  </si>
  <si>
    <t>Nengh</t>
  </si>
  <si>
    <t>Ras</t>
  </si>
  <si>
    <t>Suidu</t>
  </si>
  <si>
    <t>Kaer</t>
  </si>
  <si>
    <t>Artel</t>
  </si>
  <si>
    <t>Diir</t>
  </si>
  <si>
    <t>Mapta</t>
  </si>
  <si>
    <t>Rein</t>
  </si>
  <si>
    <t>Vietty</t>
  </si>
  <si>
    <t>Mellai</t>
  </si>
  <si>
    <t>Ajlkarni</t>
  </si>
  <si>
    <t>Swo</t>
  </si>
  <si>
    <t>Nioudhary</t>
  </si>
  <si>
    <t>User_ID first+last name</t>
  </si>
  <si>
    <t>Months</t>
  </si>
  <si>
    <t>Task 1</t>
  </si>
  <si>
    <t>Task 4</t>
  </si>
  <si>
    <t>Task 2</t>
  </si>
  <si>
    <t>Task 5</t>
  </si>
  <si>
    <t>Task 3</t>
  </si>
  <si>
    <t>Final Salary</t>
  </si>
  <si>
    <t>Tax (10%)</t>
  </si>
  <si>
    <t>Updated Bonus</t>
  </si>
  <si>
    <t>Pefomance Score</t>
  </si>
  <si>
    <t>Task 6</t>
  </si>
  <si>
    <t>Task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</si>
</sst>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3" xfId="0" applyBorder="1"/>
    <xf numFmtId="0" fontId="1" fillId="3" borderId="14" xfId="0" applyFont="1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12701</xdr:colOff>
      <xdr:row>3</xdr:row>
      <xdr:rowOff>0</xdr:rowOff>
    </xdr:from>
    <xdr:to>
      <xdr:col>3</xdr:col>
      <xdr:colOff>1809751</xdr:colOff>
      <xdr:row>6</xdr:row>
      <xdr:rowOff>145361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CF5A9-438D-FC4B-A3C4-05307BE25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1601" y="552450"/>
          <a:ext cx="1797050" cy="69781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E71B-8005-47E0-8D94-C962DFF44756}">
  <sheetPr>
    <tabColor theme="6" tint="0.39997558519241921"/>
  </sheetPr>
  <dimension ref="A1:T23"/>
  <sheetViews>
    <sheetView tabSelected="1" topLeftCell="A2" workbookViewId="0">
      <selection activeCell="G27" sqref="G27"/>
    </sheetView>
  </sheetViews>
  <sheetFormatPr defaultRowHeight="14.4"/>
  <cols>
    <col min="1" max="1" width="10.44140625" customWidth="1"/>
    <col min="2" max="5" width="13.6640625" customWidth="1"/>
    <col min="6" max="7" width="16.33203125" customWidth="1"/>
    <col min="8" max="8" width="22.44140625" customWidth="1"/>
    <col min="9" max="9" width="19.6640625" customWidth="1"/>
    <col min="10" max="10" width="12.88671875" customWidth="1"/>
    <col min="11" max="12" width="12" customWidth="1"/>
    <col min="13" max="14" width="14.44140625" customWidth="1"/>
    <col min="15" max="15" width="15.6640625" customWidth="1"/>
    <col min="16" max="16" width="14.44140625" customWidth="1"/>
    <col min="17" max="17" width="14.109375" customWidth="1"/>
    <col min="18" max="18" width="17.5546875" customWidth="1"/>
    <col min="19" max="19" width="17.44140625" customWidth="1"/>
    <col min="20" max="20" width="15.21875" customWidth="1"/>
    <col min="21" max="21" width="13.33203125" customWidth="1"/>
  </cols>
  <sheetData>
    <row r="1" spans="1:20">
      <c r="A1" s="16" t="s">
        <v>180</v>
      </c>
      <c r="B1" s="16"/>
      <c r="C1" s="16"/>
      <c r="D1" s="16"/>
      <c r="E1" s="16"/>
      <c r="F1" s="16"/>
      <c r="G1" s="16" t="s">
        <v>179</v>
      </c>
      <c r="H1" s="16" t="s">
        <v>178</v>
      </c>
      <c r="I1" s="16" t="s">
        <v>177</v>
      </c>
      <c r="J1" s="16"/>
      <c r="K1" s="16"/>
      <c r="L1" s="16" t="s">
        <v>185</v>
      </c>
      <c r="M1" s="16"/>
      <c r="N1" s="16" t="s">
        <v>186</v>
      </c>
      <c r="O1" s="16"/>
      <c r="R1" t="s">
        <v>176</v>
      </c>
    </row>
    <row r="2" spans="1:20">
      <c r="A2" s="17" t="s">
        <v>135</v>
      </c>
      <c r="B2" s="18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175</v>
      </c>
      <c r="H2" s="18" t="s">
        <v>112</v>
      </c>
      <c r="I2" s="18" t="s">
        <v>174</v>
      </c>
      <c r="J2" s="18" t="s">
        <v>37</v>
      </c>
      <c r="K2" s="18" t="s">
        <v>39</v>
      </c>
      <c r="L2" s="18" t="s">
        <v>182</v>
      </c>
      <c r="M2" s="18" t="s">
        <v>181</v>
      </c>
      <c r="N2" s="18" t="s">
        <v>183</v>
      </c>
      <c r="O2" s="18" t="s">
        <v>184</v>
      </c>
      <c r="P2" s="15"/>
      <c r="Q2" s="11" t="s">
        <v>0</v>
      </c>
      <c r="R2" s="11" t="s">
        <v>1</v>
      </c>
      <c r="S2" s="12" t="s">
        <v>91</v>
      </c>
      <c r="T2" s="12" t="s">
        <v>91</v>
      </c>
    </row>
    <row r="3" spans="1:20">
      <c r="A3" s="16" t="s">
        <v>133</v>
      </c>
      <c r="B3" s="16" t="s">
        <v>5</v>
      </c>
      <c r="C3" s="16" t="s">
        <v>6</v>
      </c>
      <c r="D3" s="16">
        <v>25000</v>
      </c>
      <c r="E3" s="16">
        <v>2000</v>
      </c>
      <c r="F3" s="16" t="s">
        <v>7</v>
      </c>
      <c r="G3" s="16" t="s">
        <v>7</v>
      </c>
      <c r="H3" s="16" t="s">
        <v>113</v>
      </c>
      <c r="I3" s="16" t="s">
        <v>154</v>
      </c>
      <c r="J3" s="16">
        <f>D3+E3</f>
        <v>27000</v>
      </c>
      <c r="K3" s="16">
        <f>J3*12</f>
        <v>324000</v>
      </c>
      <c r="L3" s="16">
        <f>J3*10%</f>
        <v>2700</v>
      </c>
      <c r="M3" s="16">
        <f>J3-L3</f>
        <v>24300</v>
      </c>
      <c r="N3" s="16">
        <f>E3+500</f>
        <v>2500</v>
      </c>
      <c r="O3" s="16">
        <f>Dataset!D3/1000</f>
        <v>25</v>
      </c>
      <c r="Q3" s="1" t="s">
        <v>5</v>
      </c>
      <c r="R3" s="1" t="s">
        <v>6</v>
      </c>
      <c r="S3" s="1" t="str">
        <f>Q3&amp;" "&amp;R3</f>
        <v>Ravi Kumar</v>
      </c>
      <c r="T3" s="1" t="s">
        <v>92</v>
      </c>
    </row>
    <row r="4" spans="1:20">
      <c r="A4" s="16" t="s">
        <v>134</v>
      </c>
      <c r="B4" s="16" t="s">
        <v>8</v>
      </c>
      <c r="C4" s="16" t="s">
        <v>9</v>
      </c>
      <c r="D4" s="16">
        <v>30000</v>
      </c>
      <c r="E4" s="16">
        <v>2500</v>
      </c>
      <c r="F4" s="16" t="s">
        <v>10</v>
      </c>
      <c r="G4" s="16" t="s">
        <v>10</v>
      </c>
      <c r="H4" s="16" t="s">
        <v>114</v>
      </c>
      <c r="I4" s="16" t="s">
        <v>155</v>
      </c>
      <c r="J4" s="16">
        <f t="shared" ref="J4:J22" si="0">D4+E4</f>
        <v>32500</v>
      </c>
      <c r="K4" s="16">
        <f t="shared" ref="K4:K22" si="1">J4*12</f>
        <v>390000</v>
      </c>
      <c r="L4" s="16">
        <f t="shared" ref="L4:L22" si="2">J4*10%</f>
        <v>3250</v>
      </c>
      <c r="M4" s="16">
        <f t="shared" ref="M4:M22" si="3">J4-L4</f>
        <v>29250</v>
      </c>
      <c r="N4" s="16">
        <f t="shared" ref="N4:N22" si="4">E4+500</f>
        <v>3000</v>
      </c>
      <c r="O4" s="16">
        <f>Dataset!D4/1000</f>
        <v>30</v>
      </c>
      <c r="Q4" s="1" t="s">
        <v>8</v>
      </c>
      <c r="R4" s="1" t="s">
        <v>9</v>
      </c>
      <c r="S4" s="1" t="str">
        <f t="shared" ref="S4:S22" si="5">Q4&amp;" "&amp;R4</f>
        <v>Sneha Rani</v>
      </c>
      <c r="T4" s="1" t="s">
        <v>93</v>
      </c>
    </row>
    <row r="5" spans="1:20">
      <c r="A5" s="16" t="s">
        <v>136</v>
      </c>
      <c r="B5" s="16" t="s">
        <v>11</v>
      </c>
      <c r="C5" s="16" t="s">
        <v>12</v>
      </c>
      <c r="D5" s="16">
        <v>28000</v>
      </c>
      <c r="E5" s="16">
        <v>1800</v>
      </c>
      <c r="F5" s="16" t="s">
        <v>13</v>
      </c>
      <c r="G5" s="16" t="s">
        <v>13</v>
      </c>
      <c r="H5" s="16" t="s">
        <v>115</v>
      </c>
      <c r="I5" s="16" t="s">
        <v>156</v>
      </c>
      <c r="J5" s="16">
        <f t="shared" si="0"/>
        <v>29800</v>
      </c>
      <c r="K5" s="16">
        <f t="shared" si="1"/>
        <v>357600</v>
      </c>
      <c r="L5" s="16">
        <f t="shared" si="2"/>
        <v>2980</v>
      </c>
      <c r="M5" s="16">
        <f t="shared" si="3"/>
        <v>26820</v>
      </c>
      <c r="N5" s="16">
        <f t="shared" si="4"/>
        <v>2300</v>
      </c>
      <c r="O5" s="16">
        <f>Dataset!D5/1000</f>
        <v>28</v>
      </c>
      <c r="Q5" s="1" t="s">
        <v>11</v>
      </c>
      <c r="R5" s="1" t="s">
        <v>12</v>
      </c>
      <c r="S5" s="1" t="str">
        <f t="shared" si="5"/>
        <v>Ankit Verma</v>
      </c>
      <c r="T5" s="1" t="s">
        <v>94</v>
      </c>
    </row>
    <row r="6" spans="1:20">
      <c r="A6" s="16" t="s">
        <v>137</v>
      </c>
      <c r="B6" s="16" t="s">
        <v>14</v>
      </c>
      <c r="C6" s="16" t="s">
        <v>15</v>
      </c>
      <c r="D6" s="16">
        <v>32000</v>
      </c>
      <c r="E6" s="16">
        <v>3000</v>
      </c>
      <c r="F6" s="16" t="s">
        <v>16</v>
      </c>
      <c r="G6" s="16" t="s">
        <v>16</v>
      </c>
      <c r="H6" s="16" t="s">
        <v>116</v>
      </c>
      <c r="I6" s="16" t="s">
        <v>157</v>
      </c>
      <c r="J6" s="16">
        <f t="shared" si="0"/>
        <v>35000</v>
      </c>
      <c r="K6" s="16">
        <f t="shared" si="1"/>
        <v>420000</v>
      </c>
      <c r="L6" s="16">
        <f t="shared" si="2"/>
        <v>3500</v>
      </c>
      <c r="M6" s="16">
        <f t="shared" si="3"/>
        <v>31500</v>
      </c>
      <c r="N6" s="16">
        <f t="shared" si="4"/>
        <v>3500</v>
      </c>
      <c r="O6" s="16">
        <f>Dataset!D6/1000</f>
        <v>32</v>
      </c>
      <c r="Q6" s="1" t="s">
        <v>14</v>
      </c>
      <c r="R6" s="1" t="s">
        <v>15</v>
      </c>
      <c r="S6" s="1" t="str">
        <f t="shared" si="5"/>
        <v>Priya Meena</v>
      </c>
      <c r="T6" s="1" t="s">
        <v>95</v>
      </c>
    </row>
    <row r="7" spans="1:20">
      <c r="A7" s="16" t="s">
        <v>138</v>
      </c>
      <c r="B7" s="16" t="s">
        <v>17</v>
      </c>
      <c r="C7" s="16" t="s">
        <v>18</v>
      </c>
      <c r="D7" s="16">
        <v>27000</v>
      </c>
      <c r="E7" s="16">
        <v>2200</v>
      </c>
      <c r="F7" s="16" t="s">
        <v>19</v>
      </c>
      <c r="G7" s="16" t="s">
        <v>19</v>
      </c>
      <c r="H7" s="16" t="s">
        <v>117</v>
      </c>
      <c r="I7" s="16" t="s">
        <v>158</v>
      </c>
      <c r="J7" s="16">
        <f t="shared" si="0"/>
        <v>29200</v>
      </c>
      <c r="K7" s="16">
        <f t="shared" si="1"/>
        <v>350400</v>
      </c>
      <c r="L7" s="16">
        <f t="shared" si="2"/>
        <v>2920</v>
      </c>
      <c r="M7" s="16">
        <f t="shared" si="3"/>
        <v>26280</v>
      </c>
      <c r="N7" s="16">
        <f t="shared" si="4"/>
        <v>2700</v>
      </c>
      <c r="O7" s="16">
        <f>Dataset!D7/1000</f>
        <v>27</v>
      </c>
      <c r="Q7" s="1" t="s">
        <v>17</v>
      </c>
      <c r="R7" s="1" t="s">
        <v>18</v>
      </c>
      <c r="S7" s="1" t="str">
        <f t="shared" si="5"/>
        <v>Deepak Yadav</v>
      </c>
      <c r="T7" s="1" t="s">
        <v>96</v>
      </c>
    </row>
    <row r="8" spans="1:20">
      <c r="A8" s="16" t="s">
        <v>139</v>
      </c>
      <c r="B8" s="16" t="s">
        <v>55</v>
      </c>
      <c r="C8" s="16" t="s">
        <v>56</v>
      </c>
      <c r="D8" s="16">
        <v>26000</v>
      </c>
      <c r="E8" s="16">
        <v>2100</v>
      </c>
      <c r="F8" s="16" t="s">
        <v>57</v>
      </c>
      <c r="G8" s="16" t="s">
        <v>57</v>
      </c>
      <c r="H8" s="16" t="s">
        <v>118</v>
      </c>
      <c r="I8" s="16" t="s">
        <v>159</v>
      </c>
      <c r="J8" s="16">
        <f t="shared" si="0"/>
        <v>28100</v>
      </c>
      <c r="K8" s="16">
        <f t="shared" si="1"/>
        <v>337200</v>
      </c>
      <c r="L8" s="16">
        <f t="shared" si="2"/>
        <v>2810</v>
      </c>
      <c r="M8" s="16">
        <f t="shared" si="3"/>
        <v>25290</v>
      </c>
      <c r="N8" s="16">
        <f t="shared" si="4"/>
        <v>2600</v>
      </c>
      <c r="O8" s="16">
        <f>Dataset!D8/1000</f>
        <v>26</v>
      </c>
      <c r="Q8" s="1" t="s">
        <v>55</v>
      </c>
      <c r="R8" s="1" t="s">
        <v>56</v>
      </c>
      <c r="S8" s="1" t="str">
        <f t="shared" si="5"/>
        <v>Pooja Sharma</v>
      </c>
      <c r="T8" s="1" t="s">
        <v>97</v>
      </c>
    </row>
    <row r="9" spans="1:20">
      <c r="A9" s="16" t="s">
        <v>140</v>
      </c>
      <c r="B9" s="16" t="s">
        <v>58</v>
      </c>
      <c r="C9" s="16" t="s">
        <v>59</v>
      </c>
      <c r="D9" s="16">
        <v>31000</v>
      </c>
      <c r="E9" s="16">
        <v>2700</v>
      </c>
      <c r="F9" s="16" t="s">
        <v>60</v>
      </c>
      <c r="G9" s="16" t="s">
        <v>60</v>
      </c>
      <c r="H9" s="16" t="s">
        <v>119</v>
      </c>
      <c r="I9" s="16" t="s">
        <v>160</v>
      </c>
      <c r="J9" s="16">
        <f t="shared" si="0"/>
        <v>33700</v>
      </c>
      <c r="K9" s="16">
        <f t="shared" si="1"/>
        <v>404400</v>
      </c>
      <c r="L9" s="16">
        <f t="shared" si="2"/>
        <v>3370</v>
      </c>
      <c r="M9" s="16">
        <f t="shared" si="3"/>
        <v>30330</v>
      </c>
      <c r="N9" s="16">
        <f t="shared" si="4"/>
        <v>3200</v>
      </c>
      <c r="O9" s="16">
        <f>Dataset!D9/1000</f>
        <v>31</v>
      </c>
      <c r="Q9" s="1" t="s">
        <v>58</v>
      </c>
      <c r="R9" s="1" t="s">
        <v>59</v>
      </c>
      <c r="S9" s="1" t="str">
        <f t="shared" si="5"/>
        <v>Kiran Reddy</v>
      </c>
      <c r="T9" s="1" t="s">
        <v>98</v>
      </c>
    </row>
    <row r="10" spans="1:20">
      <c r="A10" s="16" t="s">
        <v>141</v>
      </c>
      <c r="B10" s="16" t="s">
        <v>61</v>
      </c>
      <c r="C10" s="16" t="s">
        <v>62</v>
      </c>
      <c r="D10" s="16">
        <v>29000</v>
      </c>
      <c r="E10" s="16">
        <v>2400</v>
      </c>
      <c r="F10" s="16" t="s">
        <v>63</v>
      </c>
      <c r="G10" s="16" t="s">
        <v>63</v>
      </c>
      <c r="H10" s="16" t="s">
        <v>120</v>
      </c>
      <c r="I10" s="16" t="s">
        <v>161</v>
      </c>
      <c r="J10" s="16">
        <f t="shared" si="0"/>
        <v>31400</v>
      </c>
      <c r="K10" s="16">
        <f t="shared" si="1"/>
        <v>376800</v>
      </c>
      <c r="L10" s="16">
        <f t="shared" si="2"/>
        <v>3140</v>
      </c>
      <c r="M10" s="16">
        <f t="shared" si="3"/>
        <v>28260</v>
      </c>
      <c r="N10" s="16">
        <f t="shared" si="4"/>
        <v>2900</v>
      </c>
      <c r="O10" s="16">
        <f>Dataset!D10/1000</f>
        <v>29</v>
      </c>
      <c r="Q10" s="1" t="s">
        <v>61</v>
      </c>
      <c r="R10" s="1" t="s">
        <v>62</v>
      </c>
      <c r="S10" s="1" t="str">
        <f t="shared" si="5"/>
        <v>Neha Singh</v>
      </c>
      <c r="T10" s="1" t="s">
        <v>99</v>
      </c>
    </row>
    <row r="11" spans="1:20">
      <c r="A11" s="16" t="s">
        <v>142</v>
      </c>
      <c r="B11" s="16" t="s">
        <v>64</v>
      </c>
      <c r="C11" s="16" t="s">
        <v>65</v>
      </c>
      <c r="D11" s="16">
        <v>27500</v>
      </c>
      <c r="E11" s="16">
        <v>1900</v>
      </c>
      <c r="F11" s="16" t="s">
        <v>66</v>
      </c>
      <c r="G11" s="16" t="s">
        <v>66</v>
      </c>
      <c r="H11" s="16" t="s">
        <v>121</v>
      </c>
      <c r="I11" s="16" t="s">
        <v>162</v>
      </c>
      <c r="J11" s="16">
        <f t="shared" si="0"/>
        <v>29400</v>
      </c>
      <c r="K11" s="16">
        <f t="shared" si="1"/>
        <v>352800</v>
      </c>
      <c r="L11" s="16">
        <f t="shared" si="2"/>
        <v>2940</v>
      </c>
      <c r="M11" s="16">
        <f t="shared" si="3"/>
        <v>26460</v>
      </c>
      <c r="N11" s="16">
        <f t="shared" si="4"/>
        <v>2400</v>
      </c>
      <c r="O11" s="16">
        <f>Dataset!D11/1000</f>
        <v>27.5</v>
      </c>
      <c r="Q11" s="1" t="s">
        <v>64</v>
      </c>
      <c r="R11" s="1" t="s">
        <v>65</v>
      </c>
      <c r="S11" s="1" t="str">
        <f t="shared" si="5"/>
        <v>Rahul Das</v>
      </c>
      <c r="T11" s="1" t="s">
        <v>100</v>
      </c>
    </row>
    <row r="12" spans="1:20">
      <c r="A12" s="16" t="s">
        <v>143</v>
      </c>
      <c r="B12" s="16" t="s">
        <v>67</v>
      </c>
      <c r="C12" s="16" t="s">
        <v>68</v>
      </c>
      <c r="D12" s="16">
        <v>33000</v>
      </c>
      <c r="E12" s="16">
        <v>3200</v>
      </c>
      <c r="F12" s="16" t="s">
        <v>69</v>
      </c>
      <c r="G12" s="16" t="s">
        <v>69</v>
      </c>
      <c r="H12" s="16" t="s">
        <v>122</v>
      </c>
      <c r="I12" s="16" t="s">
        <v>163</v>
      </c>
      <c r="J12" s="16">
        <f t="shared" si="0"/>
        <v>36200</v>
      </c>
      <c r="K12" s="16">
        <f t="shared" si="1"/>
        <v>434400</v>
      </c>
      <c r="L12" s="16">
        <f t="shared" si="2"/>
        <v>3620</v>
      </c>
      <c r="M12" s="16">
        <f t="shared" si="3"/>
        <v>32580</v>
      </c>
      <c r="N12" s="16">
        <f t="shared" si="4"/>
        <v>3700</v>
      </c>
      <c r="O12" s="16">
        <f>Dataset!D12/1000</f>
        <v>33</v>
      </c>
      <c r="Q12" s="1" t="s">
        <v>67</v>
      </c>
      <c r="R12" s="1" t="s">
        <v>68</v>
      </c>
      <c r="S12" s="1" t="str">
        <f t="shared" si="5"/>
        <v>Suresh Naidu</v>
      </c>
      <c r="T12" s="1" t="s">
        <v>101</v>
      </c>
    </row>
    <row r="13" spans="1:20">
      <c r="A13" s="16" t="s">
        <v>144</v>
      </c>
      <c r="B13" s="16" t="s">
        <v>70</v>
      </c>
      <c r="C13" s="16" t="s">
        <v>71</v>
      </c>
      <c r="D13" s="16">
        <v>30500</v>
      </c>
      <c r="E13" s="16">
        <v>2600</v>
      </c>
      <c r="F13" s="16" t="s">
        <v>72</v>
      </c>
      <c r="G13" s="16" t="s">
        <v>72</v>
      </c>
      <c r="H13" s="16" t="s">
        <v>123</v>
      </c>
      <c r="I13" s="16" t="s">
        <v>164</v>
      </c>
      <c r="J13" s="16">
        <f t="shared" si="0"/>
        <v>33100</v>
      </c>
      <c r="K13" s="16">
        <f t="shared" si="1"/>
        <v>397200</v>
      </c>
      <c r="L13" s="16">
        <f t="shared" si="2"/>
        <v>3310</v>
      </c>
      <c r="M13" s="16">
        <f t="shared" si="3"/>
        <v>29790</v>
      </c>
      <c r="N13" s="16">
        <f t="shared" si="4"/>
        <v>3100</v>
      </c>
      <c r="O13" s="16">
        <f>Dataset!D13/1000</f>
        <v>30.5</v>
      </c>
      <c r="Q13" s="1" t="s">
        <v>70</v>
      </c>
      <c r="R13" s="1" t="s">
        <v>71</v>
      </c>
      <c r="S13" s="1" t="str">
        <f t="shared" si="5"/>
        <v>Kavya Iyer</v>
      </c>
      <c r="T13" s="1" t="s">
        <v>102</v>
      </c>
    </row>
    <row r="14" spans="1:20">
      <c r="A14" s="16" t="s">
        <v>145</v>
      </c>
      <c r="B14" s="16" t="s">
        <v>73</v>
      </c>
      <c r="C14" s="16" t="s">
        <v>74</v>
      </c>
      <c r="D14" s="16">
        <v>29500</v>
      </c>
      <c r="E14" s="16">
        <v>2300</v>
      </c>
      <c r="F14" s="16" t="s">
        <v>75</v>
      </c>
      <c r="G14" s="16" t="s">
        <v>75</v>
      </c>
      <c r="H14" s="16" t="s">
        <v>124</v>
      </c>
      <c r="I14" s="16" t="s">
        <v>165</v>
      </c>
      <c r="J14" s="16">
        <f t="shared" si="0"/>
        <v>31800</v>
      </c>
      <c r="K14" s="16">
        <f t="shared" si="1"/>
        <v>381600</v>
      </c>
      <c r="L14" s="16">
        <f t="shared" si="2"/>
        <v>3180</v>
      </c>
      <c r="M14" s="16">
        <f t="shared" si="3"/>
        <v>28620</v>
      </c>
      <c r="N14" s="16">
        <f t="shared" si="4"/>
        <v>2800</v>
      </c>
      <c r="O14" s="16">
        <f>Dataset!D14/1000</f>
        <v>29.5</v>
      </c>
      <c r="Q14" s="1" t="s">
        <v>73</v>
      </c>
      <c r="R14" s="1" t="s">
        <v>74</v>
      </c>
      <c r="S14" s="1" t="str">
        <f t="shared" si="5"/>
        <v>Arjun Patel</v>
      </c>
      <c r="T14" s="1" t="s">
        <v>103</v>
      </c>
    </row>
    <row r="15" spans="1:20">
      <c r="A15" s="16" t="s">
        <v>146</v>
      </c>
      <c r="B15" s="16" t="s">
        <v>76</v>
      </c>
      <c r="C15" s="16" t="s">
        <v>77</v>
      </c>
      <c r="D15" s="16">
        <v>28500</v>
      </c>
      <c r="E15" s="16">
        <v>2000</v>
      </c>
      <c r="F15" s="16" t="s">
        <v>7</v>
      </c>
      <c r="G15" s="16" t="s">
        <v>7</v>
      </c>
      <c r="H15" s="16" t="s">
        <v>125</v>
      </c>
      <c r="I15" s="16" t="s">
        <v>166</v>
      </c>
      <c r="J15" s="16">
        <f t="shared" si="0"/>
        <v>30500</v>
      </c>
      <c r="K15" s="16">
        <f t="shared" si="1"/>
        <v>366000</v>
      </c>
      <c r="L15" s="16">
        <f t="shared" si="2"/>
        <v>3050</v>
      </c>
      <c r="M15" s="16">
        <f t="shared" si="3"/>
        <v>27450</v>
      </c>
      <c r="N15" s="16">
        <f t="shared" si="4"/>
        <v>2500</v>
      </c>
      <c r="O15" s="16">
        <f>Dataset!D15/1000</f>
        <v>28.5</v>
      </c>
      <c r="Q15" s="1" t="s">
        <v>76</v>
      </c>
      <c r="R15" s="1" t="s">
        <v>77</v>
      </c>
      <c r="S15" s="1" t="str">
        <f t="shared" si="5"/>
        <v>Divya Nair</v>
      </c>
      <c r="T15" s="1" t="s">
        <v>104</v>
      </c>
    </row>
    <row r="16" spans="1:20">
      <c r="A16" s="16" t="s">
        <v>147</v>
      </c>
      <c r="B16" s="16" t="s">
        <v>78</v>
      </c>
      <c r="C16" s="16" t="s">
        <v>79</v>
      </c>
      <c r="D16" s="16">
        <v>34000</v>
      </c>
      <c r="E16" s="16">
        <v>3500</v>
      </c>
      <c r="F16" s="16" t="s">
        <v>10</v>
      </c>
      <c r="G16" s="16" t="s">
        <v>10</v>
      </c>
      <c r="H16" s="16" t="s">
        <v>126</v>
      </c>
      <c r="I16" s="16" t="s">
        <v>167</v>
      </c>
      <c r="J16" s="16">
        <f t="shared" si="0"/>
        <v>37500</v>
      </c>
      <c r="K16" s="16">
        <f t="shared" si="1"/>
        <v>450000</v>
      </c>
      <c r="L16" s="16">
        <f t="shared" si="2"/>
        <v>3750</v>
      </c>
      <c r="M16" s="16">
        <f t="shared" si="3"/>
        <v>33750</v>
      </c>
      <c r="N16" s="16">
        <f t="shared" si="4"/>
        <v>4000</v>
      </c>
      <c r="O16" s="16">
        <f>Dataset!D16/1000</f>
        <v>34</v>
      </c>
      <c r="Q16" s="1" t="s">
        <v>78</v>
      </c>
      <c r="R16" s="1" t="s">
        <v>79</v>
      </c>
      <c r="S16" s="1" t="str">
        <f t="shared" si="5"/>
        <v>Manoj Gupta</v>
      </c>
      <c r="T16" s="1" t="s">
        <v>105</v>
      </c>
    </row>
    <row r="17" spans="1:20">
      <c r="A17" s="16" t="s">
        <v>148</v>
      </c>
      <c r="B17" s="16" t="s">
        <v>80</v>
      </c>
      <c r="C17" s="16" t="s">
        <v>81</v>
      </c>
      <c r="D17" s="16">
        <v>26500</v>
      </c>
      <c r="E17" s="16">
        <v>1800</v>
      </c>
      <c r="F17" s="16" t="s">
        <v>13</v>
      </c>
      <c r="G17" s="16" t="s">
        <v>13</v>
      </c>
      <c r="H17" s="16" t="s">
        <v>127</v>
      </c>
      <c r="I17" s="16" t="s">
        <v>168</v>
      </c>
      <c r="J17" s="16">
        <f t="shared" si="0"/>
        <v>28300</v>
      </c>
      <c r="K17" s="16">
        <f t="shared" si="1"/>
        <v>339600</v>
      </c>
      <c r="L17" s="16">
        <f t="shared" si="2"/>
        <v>2830</v>
      </c>
      <c r="M17" s="16">
        <f t="shared" si="3"/>
        <v>25470</v>
      </c>
      <c r="N17" s="16">
        <f t="shared" si="4"/>
        <v>2300</v>
      </c>
      <c r="O17" s="16">
        <f>Dataset!D17/1000</f>
        <v>26.5</v>
      </c>
      <c r="Q17" s="1" t="s">
        <v>80</v>
      </c>
      <c r="R17" s="1" t="s">
        <v>81</v>
      </c>
      <c r="S17" s="1" t="str">
        <f t="shared" si="5"/>
        <v>Rekha Jain</v>
      </c>
      <c r="T17" s="1" t="s">
        <v>106</v>
      </c>
    </row>
    <row r="18" spans="1:20">
      <c r="A18" s="16" t="s">
        <v>149</v>
      </c>
      <c r="B18" s="16" t="s">
        <v>82</v>
      </c>
      <c r="C18" s="16" t="s">
        <v>83</v>
      </c>
      <c r="D18" s="16">
        <v>31500</v>
      </c>
      <c r="E18" s="16">
        <v>2900</v>
      </c>
      <c r="F18" s="16" t="s">
        <v>16</v>
      </c>
      <c r="G18" s="16" t="s">
        <v>16</v>
      </c>
      <c r="H18" s="16" t="s">
        <v>128</v>
      </c>
      <c r="I18" s="16" t="s">
        <v>169</v>
      </c>
      <c r="J18" s="16">
        <f t="shared" si="0"/>
        <v>34400</v>
      </c>
      <c r="K18" s="16">
        <f t="shared" si="1"/>
        <v>412800</v>
      </c>
      <c r="L18" s="16">
        <f t="shared" si="2"/>
        <v>3440</v>
      </c>
      <c r="M18" s="16">
        <f t="shared" si="3"/>
        <v>30960</v>
      </c>
      <c r="N18" s="16">
        <f t="shared" si="4"/>
        <v>3400</v>
      </c>
      <c r="O18" s="16">
        <f>Dataset!D18/1000</f>
        <v>31.5</v>
      </c>
      <c r="Q18" s="1" t="s">
        <v>82</v>
      </c>
      <c r="R18" s="1" t="s">
        <v>83</v>
      </c>
      <c r="S18" s="1" t="str">
        <f t="shared" si="5"/>
        <v>Vikas Shetty</v>
      </c>
      <c r="T18" s="1" t="s">
        <v>107</v>
      </c>
    </row>
    <row r="19" spans="1:20">
      <c r="A19" s="16" t="s">
        <v>150</v>
      </c>
      <c r="B19" s="16" t="s">
        <v>15</v>
      </c>
      <c r="C19" s="16" t="s">
        <v>84</v>
      </c>
      <c r="D19" s="16">
        <v>27500</v>
      </c>
      <c r="E19" s="16">
        <v>2100</v>
      </c>
      <c r="F19" s="16" t="s">
        <v>19</v>
      </c>
      <c r="G19" s="16" t="s">
        <v>19</v>
      </c>
      <c r="H19" s="16" t="s">
        <v>129</v>
      </c>
      <c r="I19" s="16" t="s">
        <v>170</v>
      </c>
      <c r="J19" s="16">
        <f t="shared" si="0"/>
        <v>29600</v>
      </c>
      <c r="K19" s="16">
        <f t="shared" si="1"/>
        <v>355200</v>
      </c>
      <c r="L19" s="16">
        <f t="shared" si="2"/>
        <v>2960</v>
      </c>
      <c r="M19" s="16">
        <f t="shared" si="3"/>
        <v>26640</v>
      </c>
      <c r="N19" s="16">
        <f t="shared" si="4"/>
        <v>2600</v>
      </c>
      <c r="O19" s="16">
        <f>Dataset!D19/1000</f>
        <v>27.5</v>
      </c>
      <c r="Q19" s="1" t="s">
        <v>15</v>
      </c>
      <c r="R19" s="1" t="s">
        <v>84</v>
      </c>
      <c r="S19" s="1" t="str">
        <f t="shared" si="5"/>
        <v>Meena Pillai</v>
      </c>
      <c r="T19" s="1" t="s">
        <v>108</v>
      </c>
    </row>
    <row r="20" spans="1:20">
      <c r="A20" s="16" t="s">
        <v>151</v>
      </c>
      <c r="B20" s="16" t="s">
        <v>85</v>
      </c>
      <c r="C20" s="16" t="s">
        <v>86</v>
      </c>
      <c r="D20" s="16">
        <v>30000</v>
      </c>
      <c r="E20" s="16">
        <v>2500</v>
      </c>
      <c r="F20" s="16" t="s">
        <v>57</v>
      </c>
      <c r="G20" s="16" t="s">
        <v>57</v>
      </c>
      <c r="H20" s="16" t="s">
        <v>130</v>
      </c>
      <c r="I20" s="16" t="s">
        <v>171</v>
      </c>
      <c r="J20" s="16">
        <f t="shared" si="0"/>
        <v>32500</v>
      </c>
      <c r="K20" s="16">
        <f t="shared" si="1"/>
        <v>390000</v>
      </c>
      <c r="L20" s="16">
        <f t="shared" si="2"/>
        <v>3250</v>
      </c>
      <c r="M20" s="16">
        <f t="shared" si="3"/>
        <v>29250</v>
      </c>
      <c r="N20" s="16">
        <f t="shared" si="4"/>
        <v>3000</v>
      </c>
      <c r="O20" s="16">
        <f>Dataset!D20/1000</f>
        <v>30</v>
      </c>
      <c r="Q20" s="1" t="s">
        <v>85</v>
      </c>
      <c r="R20" s="1" t="s">
        <v>86</v>
      </c>
      <c r="S20" s="1" t="str">
        <f t="shared" si="5"/>
        <v>Ajay Kulkarni</v>
      </c>
      <c r="T20" s="1" t="s">
        <v>109</v>
      </c>
    </row>
    <row r="21" spans="1:20">
      <c r="A21" s="16" t="s">
        <v>152</v>
      </c>
      <c r="B21" s="16" t="s">
        <v>87</v>
      </c>
      <c r="C21" s="16" t="s">
        <v>88</v>
      </c>
      <c r="D21" s="16">
        <v>28500</v>
      </c>
      <c r="E21" s="16">
        <v>2200</v>
      </c>
      <c r="F21" s="16" t="s">
        <v>60</v>
      </c>
      <c r="G21" s="16" t="s">
        <v>60</v>
      </c>
      <c r="H21" s="16" t="s">
        <v>131</v>
      </c>
      <c r="I21" s="16" t="s">
        <v>172</v>
      </c>
      <c r="J21" s="16">
        <f t="shared" si="0"/>
        <v>30700</v>
      </c>
      <c r="K21" s="16">
        <f t="shared" si="1"/>
        <v>368400</v>
      </c>
      <c r="L21" s="16">
        <f t="shared" si="2"/>
        <v>3070</v>
      </c>
      <c r="M21" s="16">
        <f t="shared" si="3"/>
        <v>27630</v>
      </c>
      <c r="N21" s="16">
        <f t="shared" si="4"/>
        <v>2700</v>
      </c>
      <c r="O21" s="16">
        <f>Dataset!D21/1000</f>
        <v>28.5</v>
      </c>
      <c r="Q21" s="1" t="s">
        <v>87</v>
      </c>
      <c r="R21" s="1" t="s">
        <v>88</v>
      </c>
      <c r="S21" s="1" t="str">
        <f t="shared" si="5"/>
        <v>Swathi Rao</v>
      </c>
      <c r="T21" s="1" t="s">
        <v>110</v>
      </c>
    </row>
    <row r="22" spans="1:20">
      <c r="A22" s="16" t="s">
        <v>153</v>
      </c>
      <c r="B22" s="16" t="s">
        <v>89</v>
      </c>
      <c r="C22" s="16" t="s">
        <v>90</v>
      </c>
      <c r="D22" s="16">
        <v>32500</v>
      </c>
      <c r="E22" s="16">
        <v>3000</v>
      </c>
      <c r="F22" s="16" t="s">
        <v>63</v>
      </c>
      <c r="G22" s="16" t="s">
        <v>63</v>
      </c>
      <c r="H22" s="16" t="s">
        <v>132</v>
      </c>
      <c r="I22" s="16" t="s">
        <v>173</v>
      </c>
      <c r="J22" s="16">
        <f t="shared" si="0"/>
        <v>35500</v>
      </c>
      <c r="K22" s="16">
        <f t="shared" si="1"/>
        <v>426000</v>
      </c>
      <c r="L22" s="16">
        <f t="shared" si="2"/>
        <v>3550</v>
      </c>
      <c r="M22" s="16">
        <f t="shared" si="3"/>
        <v>31950</v>
      </c>
      <c r="N22" s="16">
        <f t="shared" si="4"/>
        <v>3500</v>
      </c>
      <c r="O22" s="16">
        <f>Dataset!D22/1000</f>
        <v>32.5</v>
      </c>
      <c r="Q22" s="1" t="s">
        <v>89</v>
      </c>
      <c r="R22" s="1" t="s">
        <v>90</v>
      </c>
      <c r="S22" s="1" t="str">
        <f t="shared" si="5"/>
        <v>Nikhil Choudhary</v>
      </c>
      <c r="T22" s="1" t="s">
        <v>111</v>
      </c>
    </row>
    <row r="23" spans="1:20">
      <c r="F23" s="1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44ED-8732-4229-9B6A-48353F132473}">
  <sheetPr>
    <tabColor theme="7" tint="0.39997558519241921"/>
  </sheetPr>
  <dimension ref="B2:E34"/>
  <sheetViews>
    <sheetView topLeftCell="A3" workbookViewId="0">
      <selection activeCell="E16" sqref="E16"/>
    </sheetView>
  </sheetViews>
  <sheetFormatPr defaultRowHeight="14.4"/>
  <cols>
    <col min="3" max="3" width="83.21875" bestFit="1" customWidth="1"/>
    <col min="4" max="4" width="28.6640625" customWidth="1"/>
  </cols>
  <sheetData>
    <row r="2" spans="2:5" ht="15" thickBot="1"/>
    <row r="3" spans="2:5" ht="15" thickBot="1">
      <c r="B3" s="19" t="s">
        <v>54</v>
      </c>
      <c r="C3" s="20"/>
      <c r="D3" s="21"/>
    </row>
    <row r="4" spans="2:5">
      <c r="B4" s="8" t="s">
        <v>26</v>
      </c>
      <c r="C4" s="9" t="s">
        <v>20</v>
      </c>
      <c r="D4" s="10"/>
    </row>
    <row r="5" spans="2:5">
      <c r="B5" s="4"/>
      <c r="C5" s="1" t="s">
        <v>21</v>
      </c>
      <c r="D5" s="3"/>
    </row>
    <row r="6" spans="2:5">
      <c r="B6" s="4"/>
      <c r="C6" s="1" t="s">
        <v>22</v>
      </c>
      <c r="D6" s="3"/>
    </row>
    <row r="7" spans="2:5">
      <c r="B7" s="4"/>
      <c r="C7" s="1"/>
      <c r="D7" s="3"/>
    </row>
    <row r="8" spans="2:5">
      <c r="B8" s="4"/>
      <c r="C8" s="1"/>
      <c r="D8" s="3"/>
    </row>
    <row r="9" spans="2:5">
      <c r="B9" s="2" t="s">
        <v>27</v>
      </c>
      <c r="C9" s="1" t="s">
        <v>23</v>
      </c>
      <c r="D9" s="3"/>
    </row>
    <row r="10" spans="2:5">
      <c r="B10" s="4"/>
      <c r="C10" s="1" t="s">
        <v>24</v>
      </c>
      <c r="D10" s="3"/>
    </row>
    <row r="11" spans="2:5">
      <c r="B11" s="4"/>
      <c r="C11" s="1" t="s">
        <v>25</v>
      </c>
      <c r="D11" s="3"/>
    </row>
    <row r="12" spans="2:5">
      <c r="B12" s="4"/>
      <c r="C12" s="1"/>
      <c r="D12" s="3"/>
    </row>
    <row r="13" spans="2:5">
      <c r="B13" s="2" t="s">
        <v>28</v>
      </c>
      <c r="C13" s="1" t="s">
        <v>29</v>
      </c>
      <c r="D13" s="3"/>
    </row>
    <row r="14" spans="2:5">
      <c r="B14" s="4"/>
      <c r="C14" s="1" t="s">
        <v>30</v>
      </c>
      <c r="D14" s="3"/>
    </row>
    <row r="15" spans="2:5">
      <c r="B15" s="4"/>
      <c r="C15" s="1" t="s">
        <v>31</v>
      </c>
      <c r="D15" s="3"/>
    </row>
    <row r="16" spans="2:5">
      <c r="B16" s="4"/>
      <c r="C16" s="1"/>
      <c r="D16" s="3"/>
      <c r="E16" s="13"/>
    </row>
    <row r="17" spans="2:4">
      <c r="B17" s="2" t="s">
        <v>32</v>
      </c>
      <c r="C17" s="1" t="s">
        <v>51</v>
      </c>
      <c r="D17" s="3"/>
    </row>
    <row r="18" spans="2:4">
      <c r="B18" s="4"/>
      <c r="C18" s="1" t="s">
        <v>52</v>
      </c>
      <c r="D18" s="3"/>
    </row>
    <row r="19" spans="2:4">
      <c r="B19" s="4"/>
      <c r="C19" s="1"/>
      <c r="D19" s="3"/>
    </row>
    <row r="20" spans="2:4">
      <c r="B20" s="4"/>
      <c r="C20" s="1"/>
      <c r="D20" s="3"/>
    </row>
    <row r="21" spans="2:4">
      <c r="B21" s="2" t="s">
        <v>35</v>
      </c>
      <c r="C21" s="1" t="s">
        <v>33</v>
      </c>
      <c r="D21" s="3"/>
    </row>
    <row r="22" spans="2:4">
      <c r="B22" s="4"/>
      <c r="C22" s="1" t="s">
        <v>34</v>
      </c>
      <c r="D22" s="3"/>
    </row>
    <row r="23" spans="2:4">
      <c r="B23" s="4"/>
      <c r="C23" s="1"/>
      <c r="D23" s="3"/>
    </row>
    <row r="24" spans="2:4">
      <c r="B24" s="2" t="s">
        <v>45</v>
      </c>
      <c r="C24" s="1" t="s">
        <v>36</v>
      </c>
      <c r="D24" s="3"/>
    </row>
    <row r="25" spans="2:4">
      <c r="B25" s="4"/>
      <c r="C25" s="1" t="s">
        <v>37</v>
      </c>
      <c r="D25" s="3" t="s">
        <v>38</v>
      </c>
    </row>
    <row r="26" spans="2:4">
      <c r="B26" s="4"/>
      <c r="C26" s="1" t="s">
        <v>39</v>
      </c>
      <c r="D26" s="3" t="s">
        <v>40</v>
      </c>
    </row>
    <row r="27" spans="2:4">
      <c r="B27" s="4"/>
      <c r="C27" s="1" t="s">
        <v>41</v>
      </c>
      <c r="D27" s="3" t="s">
        <v>42</v>
      </c>
    </row>
    <row r="28" spans="2:4">
      <c r="B28" s="4"/>
      <c r="C28" s="1" t="s">
        <v>43</v>
      </c>
      <c r="D28" s="3" t="s">
        <v>44</v>
      </c>
    </row>
    <row r="29" spans="2:4">
      <c r="B29" s="4"/>
      <c r="C29" s="1"/>
      <c r="D29" s="3"/>
    </row>
    <row r="30" spans="2:4">
      <c r="B30" s="2" t="s">
        <v>53</v>
      </c>
      <c r="C30" s="1" t="s">
        <v>46</v>
      </c>
      <c r="D30" s="3"/>
    </row>
    <row r="31" spans="2:4">
      <c r="B31" s="4"/>
      <c r="C31" s="1" t="s">
        <v>47</v>
      </c>
      <c r="D31" s="3" t="s">
        <v>48</v>
      </c>
    </row>
    <row r="32" spans="2:4">
      <c r="B32" s="4"/>
      <c r="C32" s="1" t="s">
        <v>49</v>
      </c>
      <c r="D32" s="3" t="s">
        <v>50</v>
      </c>
    </row>
    <row r="33" spans="2:4">
      <c r="B33" s="4"/>
      <c r="C33" s="1"/>
      <c r="D33" s="3"/>
    </row>
    <row r="34" spans="2:4" ht="15" thickBot="1">
      <c r="B34" s="5"/>
      <c r="C34" s="6"/>
      <c r="D34" s="7"/>
    </row>
  </sheetData>
  <mergeCells count="1">
    <mergeCell ref="B3:D3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pavithra vavilapalli</cp:lastModifiedBy>
  <dcterms:created xsi:type="dcterms:W3CDTF">2026-04-13T06:32:00Z</dcterms:created>
  <dcterms:modified xsi:type="dcterms:W3CDTF">2026-04-13T11:03:37Z</dcterms:modified>
</cp:coreProperties>
</file>