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t\OneDrive\Desktop\byte code assignment\"/>
    </mc:Choice>
  </mc:AlternateContent>
  <xr:revisionPtr revIDLastSave="0" documentId="13_ncr:1_{99F057F2-A477-44F7-AAF2-28E58AA2A308}" xr6:coauthVersionLast="47" xr6:coauthVersionMax="47" xr10:uidLastSave="{00000000-0000-0000-0000-000000000000}"/>
  <bookViews>
    <workbookView xWindow="-108" yWindow="-108" windowWidth="23256" windowHeight="13896" activeTab="2" xr2:uid="{CD87D0A8-DBF9-4512-BBA4-DA596FBA8524}"/>
  </bookViews>
  <sheets>
    <sheet name="Dataset" sheetId="2" r:id="rId1"/>
    <sheet name="Instructions" sheetId="3" r:id="rId2"/>
    <sheet name="Sheet2" sheetId="5" r:id="rId3"/>
  </sheets>
  <definedNames>
    <definedName name="_xlnm._FilterDatabase" localSheetId="0" hidden="1">Dataset!$A$2:$Q$102</definedName>
    <definedName name="_xlnm._FilterDatabase" localSheetId="2" hidden="1">Sheet2!$C$4:$H$15</definedName>
    <definedName name="Category">Sheet2!$G$5:$G$15</definedName>
    <definedName name="Customer_Type">Sheet2!$H$5:$H$15</definedName>
    <definedName name="Orders">Sheet2!$F$5:$F$15</definedName>
    <definedName name="Region">Sheet2!$D$5:$D$15</definedName>
    <definedName name="Sales">Sheet2!$C$5:$C$15</definedName>
    <definedName name="Target_Values">Sheet2!$E$5:$E$15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5" l="1" a="1"/>
  <c r="I5" i="5" s="1"/>
  <c r="G37" i="5"/>
  <c r="F37" i="5"/>
  <c r="F33" i="5"/>
  <c r="I26" i="5"/>
  <c r="H26" i="5"/>
  <c r="G26" i="5"/>
  <c r="F26" i="5"/>
  <c r="E26" i="5"/>
  <c r="F18" i="5"/>
  <c r="E18" i="5"/>
  <c r="C18" i="5"/>
  <c r="D21" i="5" s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3" i="2"/>
  <c r="G40" i="5" l="1"/>
  <c r="G41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<sst xmlns="http://schemas.openxmlformats.org/spreadsheetml/2006/main" count="1207" uniqueCount="253">
  <si>
    <t>Order_ID</t>
  </si>
  <si>
    <t>Date</t>
  </si>
  <si>
    <t>Region</t>
  </si>
  <si>
    <t>Sales_Rep</t>
  </si>
  <si>
    <t>Category</t>
  </si>
  <si>
    <t>Product</t>
  </si>
  <si>
    <t>Sales</t>
  </si>
  <si>
    <t>Target</t>
  </si>
  <si>
    <t>Customer_Type</t>
  </si>
  <si>
    <t>Payment_Mode</t>
  </si>
  <si>
    <t>City</t>
  </si>
  <si>
    <t>Discount</t>
  </si>
  <si>
    <t>Profit</t>
  </si>
  <si>
    <t>Channel</t>
  </si>
  <si>
    <t>Remarks</t>
  </si>
  <si>
    <t>O001</t>
  </si>
  <si>
    <t>15-03-2024</t>
  </si>
  <si>
    <t>SOUTH</t>
  </si>
  <si>
    <t>Ravi</t>
  </si>
  <si>
    <t>Furniture</t>
  </si>
  <si>
    <t>Phone</t>
  </si>
  <si>
    <t>Existing</t>
  </si>
  <si>
    <t>Cash</t>
  </si>
  <si>
    <t>Chennai</t>
  </si>
  <si>
    <t>Online</t>
  </si>
  <si>
    <t>O002</t>
  </si>
  <si>
    <t>15-02-2024</t>
  </si>
  <si>
    <t>West</t>
  </si>
  <si>
    <t>Asha</t>
  </si>
  <si>
    <t>Tech</t>
  </si>
  <si>
    <t>New</t>
  </si>
  <si>
    <t>UPI</t>
  </si>
  <si>
    <t>Hyderabad</t>
  </si>
  <si>
    <t>OK</t>
  </si>
  <si>
    <t>O003</t>
  </si>
  <si>
    <t>10-01-2024</t>
  </si>
  <si>
    <t>North</t>
  </si>
  <si>
    <t>Kiran</t>
  </si>
  <si>
    <t>Chair</t>
  </si>
  <si>
    <t>Offline</t>
  </si>
  <si>
    <t>O004</t>
  </si>
  <si>
    <t>28-03-2024</t>
  </si>
  <si>
    <t>Table</t>
  </si>
  <si>
    <t>Card</t>
  </si>
  <si>
    <t>Mumbai</t>
  </si>
  <si>
    <t>O005</t>
  </si>
  <si>
    <t>18-01-2024</t>
  </si>
  <si>
    <t xml:space="preserve">south </t>
  </si>
  <si>
    <t>Laptop</t>
  </si>
  <si>
    <t>O006</t>
  </si>
  <si>
    <t>26-01-2024</t>
  </si>
  <si>
    <t>East</t>
  </si>
  <si>
    <t>Bangalore</t>
  </si>
  <si>
    <t>O007</t>
  </si>
  <si>
    <t>12-01-2024</t>
  </si>
  <si>
    <t>O008</t>
  </si>
  <si>
    <t>21-03-2024</t>
  </si>
  <si>
    <t>John</t>
  </si>
  <si>
    <t>O009</t>
  </si>
  <si>
    <t>06-04-2024</t>
  </si>
  <si>
    <t>South</t>
  </si>
  <si>
    <t>O010</t>
  </si>
  <si>
    <t>21-01-2024</t>
  </si>
  <si>
    <t>O011</t>
  </si>
  <si>
    <t>19-04-2024</t>
  </si>
  <si>
    <t>Meena</t>
  </si>
  <si>
    <t>O012</t>
  </si>
  <si>
    <t>11-03-2024</t>
  </si>
  <si>
    <t>O013</t>
  </si>
  <si>
    <t>22-01-2024</t>
  </si>
  <si>
    <t>O014</t>
  </si>
  <si>
    <t>19-02-2024</t>
  </si>
  <si>
    <t>O015</t>
  </si>
  <si>
    <t>18-04-2024</t>
  </si>
  <si>
    <t>O016</t>
  </si>
  <si>
    <t>24-03-2024</t>
  </si>
  <si>
    <t>O017</t>
  </si>
  <si>
    <t>16-01-2024</t>
  </si>
  <si>
    <t>O018</t>
  </si>
  <si>
    <t>26-03-2024</t>
  </si>
  <si>
    <t>O019</t>
  </si>
  <si>
    <t>31-03-2024</t>
  </si>
  <si>
    <t>O020</t>
  </si>
  <si>
    <t>19-03-2024</t>
  </si>
  <si>
    <t>O021</t>
  </si>
  <si>
    <t>07-03-2024</t>
  </si>
  <si>
    <t>O022</t>
  </si>
  <si>
    <t>24-02-2024</t>
  </si>
  <si>
    <t>O023</t>
  </si>
  <si>
    <t>13-03-2024</t>
  </si>
  <si>
    <t>O024</t>
  </si>
  <si>
    <t>O025</t>
  </si>
  <si>
    <t>O026</t>
  </si>
  <si>
    <t>27-03-2024</t>
  </si>
  <si>
    <t>O027</t>
  </si>
  <si>
    <t>04-01-2024</t>
  </si>
  <si>
    <t>O028</t>
  </si>
  <si>
    <t>09-01-2024</t>
  </si>
  <si>
    <t>O029</t>
  </si>
  <si>
    <t>02-04-2024</t>
  </si>
  <si>
    <t>O030</t>
  </si>
  <si>
    <t>25-01-2024</t>
  </si>
  <si>
    <t>O031</t>
  </si>
  <si>
    <t>O032</t>
  </si>
  <si>
    <t>26-02-2024</t>
  </si>
  <si>
    <t>O033</t>
  </si>
  <si>
    <t>16-04-2024</t>
  </si>
  <si>
    <t>O034</t>
  </si>
  <si>
    <t>31-01-2024</t>
  </si>
  <si>
    <t>O035</t>
  </si>
  <si>
    <t>17-04-2024</t>
  </si>
  <si>
    <t>O036</t>
  </si>
  <si>
    <t>16-02-2024</t>
  </si>
  <si>
    <t>O037</t>
  </si>
  <si>
    <t>O038</t>
  </si>
  <si>
    <t>18-03-2024</t>
  </si>
  <si>
    <t>O039</t>
  </si>
  <si>
    <t>27-02-2024</t>
  </si>
  <si>
    <t>O040</t>
  </si>
  <si>
    <t>O041</t>
  </si>
  <si>
    <t>O042</t>
  </si>
  <si>
    <t>O043</t>
  </si>
  <si>
    <t>15-04-2024</t>
  </si>
  <si>
    <t>O044</t>
  </si>
  <si>
    <t>O045</t>
  </si>
  <si>
    <t>28-01-2024</t>
  </si>
  <si>
    <t>O046</t>
  </si>
  <si>
    <t>25-03-2024</t>
  </si>
  <si>
    <t>O047</t>
  </si>
  <si>
    <t>O048</t>
  </si>
  <si>
    <t>20-02-2024</t>
  </si>
  <si>
    <t>O049</t>
  </si>
  <si>
    <t>O050</t>
  </si>
  <si>
    <t>22-02-2024</t>
  </si>
  <si>
    <t>O051</t>
  </si>
  <si>
    <t>21-02-2024</t>
  </si>
  <si>
    <t>O052</t>
  </si>
  <si>
    <t>03-04-2024</t>
  </si>
  <si>
    <t>O053</t>
  </si>
  <si>
    <t>03-02-2024</t>
  </si>
  <si>
    <t>O054</t>
  </si>
  <si>
    <t>O055</t>
  </si>
  <si>
    <t>O056</t>
  </si>
  <si>
    <t>30-04-2024</t>
  </si>
  <si>
    <t>O057</t>
  </si>
  <si>
    <t>O058</t>
  </si>
  <si>
    <t>17-03-2024</t>
  </si>
  <si>
    <t>O059</t>
  </si>
  <si>
    <t>O060</t>
  </si>
  <si>
    <t>17-02-2024</t>
  </si>
  <si>
    <t>O061</t>
  </si>
  <si>
    <t>O062</t>
  </si>
  <si>
    <t>O063</t>
  </si>
  <si>
    <t>O064</t>
  </si>
  <si>
    <t>O065</t>
  </si>
  <si>
    <t>O066</t>
  </si>
  <si>
    <t>O067</t>
  </si>
  <si>
    <t>24-01-2024</t>
  </si>
  <si>
    <t>O068</t>
  </si>
  <si>
    <t>14-03-2024</t>
  </si>
  <si>
    <t>O069</t>
  </si>
  <si>
    <t>28-02-2024</t>
  </si>
  <si>
    <t>O070</t>
  </si>
  <si>
    <t>29-03-2024</t>
  </si>
  <si>
    <t>O071</t>
  </si>
  <si>
    <t>29-04-2024</t>
  </si>
  <si>
    <t>O072</t>
  </si>
  <si>
    <t>01-03-2024</t>
  </si>
  <si>
    <t>O073</t>
  </si>
  <si>
    <t>O074</t>
  </si>
  <si>
    <t>01-04-2024</t>
  </si>
  <si>
    <t>O075</t>
  </si>
  <si>
    <t>O076</t>
  </si>
  <si>
    <t>O077</t>
  </si>
  <si>
    <t>O078</t>
  </si>
  <si>
    <t>O079</t>
  </si>
  <si>
    <t>O080</t>
  </si>
  <si>
    <t>O081</t>
  </si>
  <si>
    <t>13-04-2024</t>
  </si>
  <si>
    <t>O082</t>
  </si>
  <si>
    <t>01-02-2024</t>
  </si>
  <si>
    <t>O083</t>
  </si>
  <si>
    <t>01-01-2024</t>
  </si>
  <si>
    <t>O084</t>
  </si>
  <si>
    <t>O085</t>
  </si>
  <si>
    <t>11-01-2024</t>
  </si>
  <si>
    <t>O086</t>
  </si>
  <si>
    <t>O087</t>
  </si>
  <si>
    <t>O088</t>
  </si>
  <si>
    <t>O089</t>
  </si>
  <si>
    <t>O090</t>
  </si>
  <si>
    <t>03-01-2024</t>
  </si>
  <si>
    <t>O091</t>
  </si>
  <si>
    <t>06-03-2024</t>
  </si>
  <si>
    <t>O092</t>
  </si>
  <si>
    <t>23-02-2024</t>
  </si>
  <si>
    <t>O093</t>
  </si>
  <si>
    <t>O094</t>
  </si>
  <si>
    <t>17-01-2024</t>
  </si>
  <si>
    <t>O095</t>
  </si>
  <si>
    <t>23-01-2024</t>
  </si>
  <si>
    <t>O096</t>
  </si>
  <si>
    <t>06-02-2024</t>
  </si>
  <si>
    <t>O097</t>
  </si>
  <si>
    <t>09-04-2024</t>
  </si>
  <si>
    <t>O098</t>
  </si>
  <si>
    <t>04-03-2024</t>
  </si>
  <si>
    <t>O099</t>
  </si>
  <si>
    <t>11-02-2024</t>
  </si>
  <si>
    <t>O100</t>
  </si>
  <si>
    <t>25-02-2024</t>
  </si>
  <si>
    <t>What To do</t>
  </si>
  <si>
    <t>Instructions</t>
  </si>
  <si>
    <t>Data Cleaning/Transformation</t>
  </si>
  <si>
    <t>Create new helper column Performance status</t>
  </si>
  <si>
    <t>use if condition, if sales greater than target, sales achieved else not achieved</t>
  </si>
  <si>
    <t>Create another column Sales category</t>
  </si>
  <si>
    <t>if sales greater than 50000, then high else normal</t>
  </si>
  <si>
    <t>Create new region column and Clean region values</t>
  </si>
  <si>
    <t>Convert region to proper case and remove extra spaces</t>
  </si>
  <si>
    <t>Sales value consists of negative values as well convert those to positve value (use Ctl+H-&gt; replace "-" with "") See the image for reference just place your cursor in replace</t>
  </si>
  <si>
    <t>Create Report Sheet (new Sheet)</t>
  </si>
  <si>
    <t>create KPIs</t>
  </si>
  <si>
    <t>Total Sales, Total Target, Total Orders, Achievement% = totalsales/totaltarget</t>
  </si>
  <si>
    <t xml:space="preserve">Region wise Report </t>
  </si>
  <si>
    <t>Region, Total_sales, Total_target, Orders, achievement% = totalsals/totaltarget</t>
  </si>
  <si>
    <t xml:space="preserve">Create data validation for region </t>
  </si>
  <si>
    <t>Category wise Sales Report</t>
  </si>
  <si>
    <t>Category, total_sales</t>
  </si>
  <si>
    <t>Create data validation for category column</t>
  </si>
  <si>
    <t>Customer Type Report</t>
  </si>
  <si>
    <t>Customer type, sales, orders</t>
  </si>
  <si>
    <t>create data validation for customer type</t>
  </si>
  <si>
    <t>Performance Summary</t>
  </si>
  <si>
    <t>Achieved Sales: '=SUMIFS(F:F, I:I, "Achieved")</t>
  </si>
  <si>
    <t>Not Achieved Sales: '=SUMIFS(F:F, I:I, "Not Achieved")</t>
  </si>
  <si>
    <t>prfomnce status</t>
  </si>
  <si>
    <t>clean region</t>
  </si>
  <si>
    <t>sales category</t>
  </si>
  <si>
    <t>Total Sales</t>
  </si>
  <si>
    <t>Target Values</t>
  </si>
  <si>
    <t>Total Target</t>
  </si>
  <si>
    <t>Orders</t>
  </si>
  <si>
    <t>total orders</t>
  </si>
  <si>
    <t>Achivements%</t>
  </si>
  <si>
    <t>Region wise Report</t>
  </si>
  <si>
    <t>Total sales</t>
  </si>
  <si>
    <t>perfomance</t>
  </si>
  <si>
    <t>Category wise Report</t>
  </si>
  <si>
    <t>total_sales</t>
  </si>
  <si>
    <t>Customer type Report</t>
  </si>
  <si>
    <t>Perfomnce wise summary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</si>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</sst>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2" fillId="0" borderId="12" xfId="0" quotePrefix="1" applyFont="1" applyBorder="1" applyAlignment="1">
      <alignment vertical="center" wrapText="1"/>
    </xf>
    <xf numFmtId="0" fontId="0" fillId="0" borderId="13" xfId="0" applyBorder="1"/>
    <xf numFmtId="0" fontId="1" fillId="2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0" xfId="0" applyFont="1" applyFill="1"/>
    <xf numFmtId="0" fontId="0" fillId="4" borderId="13" xfId="0" applyFill="1" applyBorder="1"/>
    <xf numFmtId="0" fontId="0" fillId="4" borderId="19" xfId="0" applyFill="1" applyBorder="1"/>
    <xf numFmtId="0" fontId="0" fillId="0" borderId="20" xfId="0" applyBorder="1"/>
    <xf numFmtId="0" fontId="0" fillId="4" borderId="0" xfId="0" applyFill="1"/>
    <xf numFmtId="0" fontId="0" fillId="0" borderId="6" xfId="0" applyBorder="1"/>
    <xf numFmtId="0" fontId="0" fillId="0" borderId="8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57229</xdr:colOff>
      <xdr:row>6</xdr:row>
      <xdr:rowOff>38101</xdr:rowOff>
    </xdr:from>
    <xdr:to>
      <xdr:col>2</xdr:col>
      <xdr:colOff>654942</xdr:colOff>
      <xdr:row>15</xdr:row>
      <xdr:rowOff>31751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1A4D32-3E02-4C1D-B049-7E4A6C027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5729" y="958851"/>
          <a:ext cx="3639363" cy="1651000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3375-3089-4B17-A6CF-4F60667BE1C6}">
  <dimension ref="A1:R102"/>
  <sheetViews>
    <sheetView zoomScale="102" workbookViewId="0">
      <selection activeCell="R1" sqref="R1"/>
    </sheetView>
  </sheetViews>
  <sheetFormatPr defaultRowHeight="14.4"/>
  <cols>
    <col min="2" max="2" width="10.109375" bestFit="1" customWidth="1"/>
    <col min="4" max="4" width="13.5546875" customWidth="1"/>
    <col min="8" max="9" width="10.88671875" bestFit="1" customWidth="1"/>
    <col min="10" max="10" width="11.77734375" customWidth="1"/>
    <col min="13" max="13" width="9" bestFit="1" customWidth="1"/>
    <col min="14" max="14" width="10.88671875" bestFit="1" customWidth="1"/>
    <col min="17" max="17" width="16.109375" customWidth="1"/>
    <col min="18" max="18" width="13.21875" customWidth="1"/>
  </cols>
  <sheetData>
    <row r="1" spans="1:18">
      <c r="D1" t="s">
        <v>252</v>
      </c>
      <c r="H1" t="s">
        <v>252</v>
      </c>
      <c r="Q1" t="s">
        <v>252</v>
      </c>
      <c r="R1" t="s">
        <v>252</v>
      </c>
    </row>
    <row r="2" spans="1:18">
      <c r="A2" s="13" t="s">
        <v>0</v>
      </c>
      <c r="B2" s="13" t="s">
        <v>1</v>
      </c>
      <c r="C2" s="13" t="s">
        <v>2</v>
      </c>
      <c r="D2" s="13" t="s">
        <v>237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3" t="s">
        <v>8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13</v>
      </c>
      <c r="P2" s="13" t="s">
        <v>14</v>
      </c>
      <c r="Q2" s="17" t="s">
        <v>236</v>
      </c>
      <c r="R2" s="18" t="s">
        <v>238</v>
      </c>
    </row>
    <row r="3" spans="1:18">
      <c r="A3" s="12" t="s">
        <v>15</v>
      </c>
      <c r="B3" s="12" t="s">
        <v>16</v>
      </c>
      <c r="C3" s="12" t="s">
        <v>17</v>
      </c>
      <c r="D3" s="12" t="str">
        <f>PROPER(TRIM(C3))</f>
        <v>South</v>
      </c>
      <c r="E3" s="12" t="s">
        <v>18</v>
      </c>
      <c r="F3" s="12" t="s">
        <v>19</v>
      </c>
      <c r="G3" s="12" t="s">
        <v>20</v>
      </c>
      <c r="H3" s="12">
        <v>33542</v>
      </c>
      <c r="I3" s="12">
        <v>12954</v>
      </c>
      <c r="J3" s="12" t="s">
        <v>21</v>
      </c>
      <c r="K3" s="12" t="s">
        <v>22</v>
      </c>
      <c r="L3" s="12" t="s">
        <v>23</v>
      </c>
      <c r="M3" s="12">
        <v>11</v>
      </c>
      <c r="N3" s="12">
        <v>9473</v>
      </c>
      <c r="O3" s="12" t="s">
        <v>24</v>
      </c>
      <c r="P3" s="12"/>
      <c r="Q3" t="str">
        <f>IF(H3&gt;I3,"Achived","Not Achieved")</f>
        <v>Achived</v>
      </c>
      <c r="R3" t="str">
        <f>IF(H3&gt;50000,"High","Normal")</f>
        <v>Normal</v>
      </c>
    </row>
    <row r="4" spans="1:18">
      <c r="A4" s="12" t="s">
        <v>25</v>
      </c>
      <c r="B4" s="12" t="s">
        <v>26</v>
      </c>
      <c r="C4" s="12" t="s">
        <v>27</v>
      </c>
      <c r="D4" s="12" t="str">
        <f t="shared" ref="D4:D67" si="0">PROPER(TRIM(C4))</f>
        <v>West</v>
      </c>
      <c r="E4" s="12" t="s">
        <v>28</v>
      </c>
      <c r="F4" s="12" t="s">
        <v>29</v>
      </c>
      <c r="G4" s="12" t="s">
        <v>20</v>
      </c>
      <c r="H4" s="12">
        <v>1695</v>
      </c>
      <c r="I4" s="12">
        <v>12850</v>
      </c>
      <c r="J4" s="12" t="s">
        <v>30</v>
      </c>
      <c r="K4" s="12" t="s">
        <v>31</v>
      </c>
      <c r="L4" s="12" t="s">
        <v>32</v>
      </c>
      <c r="M4" s="12">
        <v>0</v>
      </c>
      <c r="N4" s="12">
        <v>7515</v>
      </c>
      <c r="O4" s="12" t="s">
        <v>24</v>
      </c>
      <c r="P4" s="12" t="s">
        <v>33</v>
      </c>
      <c r="Q4" t="str">
        <f t="shared" ref="Q4:Q67" si="1">IF(H4&gt;I4,"Achived","Not Achieved")</f>
        <v>Not Achieved</v>
      </c>
      <c r="R4" t="str">
        <f t="shared" ref="R4:R67" si="2">IF(H4&gt;50000,"High","Normal")</f>
        <v>Normal</v>
      </c>
    </row>
    <row r="5" spans="1:18">
      <c r="A5" s="12" t="s">
        <v>34</v>
      </c>
      <c r="B5" s="12" t="s">
        <v>35</v>
      </c>
      <c r="C5" s="12" t="s">
        <v>36</v>
      </c>
      <c r="D5" s="12" t="str">
        <f t="shared" si="0"/>
        <v>North</v>
      </c>
      <c r="E5" s="12" t="s">
        <v>37</v>
      </c>
      <c r="F5" s="12" t="s">
        <v>19</v>
      </c>
      <c r="G5" s="12" t="s">
        <v>38</v>
      </c>
      <c r="H5" s="12">
        <v>32726</v>
      </c>
      <c r="I5" s="12">
        <v>39638</v>
      </c>
      <c r="J5" s="12" t="s">
        <v>30</v>
      </c>
      <c r="K5" s="12" t="s">
        <v>31</v>
      </c>
      <c r="L5" s="12" t="s">
        <v>32</v>
      </c>
      <c r="M5" s="12">
        <v>7</v>
      </c>
      <c r="N5" s="12">
        <v>11860</v>
      </c>
      <c r="O5" s="12" t="s">
        <v>39</v>
      </c>
      <c r="P5" s="12" t="s">
        <v>33</v>
      </c>
      <c r="Q5" t="str">
        <f t="shared" si="1"/>
        <v>Not Achieved</v>
      </c>
      <c r="R5" t="str">
        <f t="shared" si="2"/>
        <v>Normal</v>
      </c>
    </row>
    <row r="6" spans="1:18">
      <c r="A6" s="12" t="s">
        <v>40</v>
      </c>
      <c r="B6" s="12" t="s">
        <v>41</v>
      </c>
      <c r="C6" s="12" t="s">
        <v>36</v>
      </c>
      <c r="D6" s="12" t="str">
        <f t="shared" si="0"/>
        <v>North</v>
      </c>
      <c r="E6" s="12" t="s">
        <v>28</v>
      </c>
      <c r="F6" s="12" t="s">
        <v>19</v>
      </c>
      <c r="G6" s="12" t="s">
        <v>42</v>
      </c>
      <c r="H6" s="12">
        <v>55488</v>
      </c>
      <c r="I6" s="12">
        <v>31119</v>
      </c>
      <c r="J6" s="12" t="s">
        <v>30</v>
      </c>
      <c r="K6" s="12" t="s">
        <v>43</v>
      </c>
      <c r="L6" s="12" t="s">
        <v>44</v>
      </c>
      <c r="M6" s="12">
        <v>24</v>
      </c>
      <c r="N6" s="12">
        <v>3382</v>
      </c>
      <c r="O6" s="12" t="s">
        <v>24</v>
      </c>
      <c r="P6" s="12" t="s">
        <v>33</v>
      </c>
      <c r="Q6" t="str">
        <f t="shared" si="1"/>
        <v>Achived</v>
      </c>
      <c r="R6" t="str">
        <f t="shared" si="2"/>
        <v>High</v>
      </c>
    </row>
    <row r="7" spans="1:18">
      <c r="A7" s="12" t="s">
        <v>45</v>
      </c>
      <c r="B7" s="12" t="s">
        <v>46</v>
      </c>
      <c r="C7" s="12" t="s">
        <v>47</v>
      </c>
      <c r="D7" s="12" t="str">
        <f t="shared" si="0"/>
        <v>South</v>
      </c>
      <c r="E7" s="12" t="s">
        <v>37</v>
      </c>
      <c r="F7" s="12" t="s">
        <v>29</v>
      </c>
      <c r="G7" s="12" t="s">
        <v>48</v>
      </c>
      <c r="H7" s="12">
        <v>6462</v>
      </c>
      <c r="I7" s="12">
        <v>13904</v>
      </c>
      <c r="J7" s="12" t="s">
        <v>30</v>
      </c>
      <c r="K7" s="12" t="s">
        <v>22</v>
      </c>
      <c r="L7" s="12" t="s">
        <v>32</v>
      </c>
      <c r="M7" s="12">
        <v>10</v>
      </c>
      <c r="N7" s="12">
        <v>17486</v>
      </c>
      <c r="O7" s="12" t="s">
        <v>24</v>
      </c>
      <c r="P7" s="12" t="s">
        <v>33</v>
      </c>
      <c r="Q7" t="str">
        <f t="shared" si="1"/>
        <v>Not Achieved</v>
      </c>
      <c r="R7" t="str">
        <f t="shared" si="2"/>
        <v>Normal</v>
      </c>
    </row>
    <row r="8" spans="1:18">
      <c r="A8" s="12" t="s">
        <v>49</v>
      </c>
      <c r="B8" s="12" t="s">
        <v>50</v>
      </c>
      <c r="C8" s="12" t="s">
        <v>51</v>
      </c>
      <c r="D8" s="12" t="str">
        <f t="shared" si="0"/>
        <v>East</v>
      </c>
      <c r="E8" s="12" t="s">
        <v>28</v>
      </c>
      <c r="F8" s="12" t="s">
        <v>19</v>
      </c>
      <c r="G8" s="12" t="s">
        <v>48</v>
      </c>
      <c r="H8" s="12">
        <v>19793</v>
      </c>
      <c r="I8" s="12">
        <v>26195</v>
      </c>
      <c r="J8" s="12" t="s">
        <v>21</v>
      </c>
      <c r="K8" s="12" t="s">
        <v>22</v>
      </c>
      <c r="L8" s="12" t="s">
        <v>52</v>
      </c>
      <c r="M8" s="12">
        <v>10</v>
      </c>
      <c r="N8" s="12">
        <v>15604</v>
      </c>
      <c r="O8" s="12" t="s">
        <v>24</v>
      </c>
      <c r="P8" s="12" t="s">
        <v>33</v>
      </c>
      <c r="Q8" t="str">
        <f t="shared" si="1"/>
        <v>Not Achieved</v>
      </c>
      <c r="R8" t="str">
        <f t="shared" si="2"/>
        <v>Normal</v>
      </c>
    </row>
    <row r="9" spans="1:18">
      <c r="A9" s="12" t="s">
        <v>53</v>
      </c>
      <c r="B9" s="12" t="s">
        <v>54</v>
      </c>
      <c r="C9" s="12" t="s">
        <v>51</v>
      </c>
      <c r="D9" s="12" t="str">
        <f t="shared" si="0"/>
        <v>East</v>
      </c>
      <c r="E9" s="12" t="s">
        <v>18</v>
      </c>
      <c r="F9" s="12" t="s">
        <v>19</v>
      </c>
      <c r="G9" s="12" t="s">
        <v>48</v>
      </c>
      <c r="H9" s="12">
        <v>3544</v>
      </c>
      <c r="I9" s="12">
        <v>50234</v>
      </c>
      <c r="J9" s="12" t="s">
        <v>21</v>
      </c>
      <c r="K9" s="12" t="s">
        <v>22</v>
      </c>
      <c r="L9" s="12" t="s">
        <v>23</v>
      </c>
      <c r="M9" s="12">
        <v>15</v>
      </c>
      <c r="N9" s="12">
        <v>18676</v>
      </c>
      <c r="O9" s="12" t="s">
        <v>24</v>
      </c>
      <c r="P9" s="12" t="s">
        <v>33</v>
      </c>
      <c r="Q9" t="str">
        <f t="shared" si="1"/>
        <v>Not Achieved</v>
      </c>
      <c r="R9" t="str">
        <f t="shared" si="2"/>
        <v>Normal</v>
      </c>
    </row>
    <row r="10" spans="1:18">
      <c r="A10" s="12" t="s">
        <v>55</v>
      </c>
      <c r="B10" s="12" t="s">
        <v>56</v>
      </c>
      <c r="C10" s="12" t="s">
        <v>36</v>
      </c>
      <c r="D10" s="12" t="str">
        <f t="shared" si="0"/>
        <v>North</v>
      </c>
      <c r="E10" s="12" t="s">
        <v>57</v>
      </c>
      <c r="F10" s="12" t="s">
        <v>29</v>
      </c>
      <c r="G10" s="12" t="s">
        <v>20</v>
      </c>
      <c r="H10" s="12">
        <v>54687</v>
      </c>
      <c r="I10" s="12">
        <v>33217</v>
      </c>
      <c r="J10" s="12" t="s">
        <v>21</v>
      </c>
      <c r="K10" s="12" t="s">
        <v>31</v>
      </c>
      <c r="L10" s="12" t="s">
        <v>44</v>
      </c>
      <c r="M10" s="12">
        <v>23</v>
      </c>
      <c r="N10" s="12">
        <v>2021</v>
      </c>
      <c r="O10" s="12" t="s">
        <v>24</v>
      </c>
      <c r="P10" s="12" t="s">
        <v>33</v>
      </c>
      <c r="Q10" t="str">
        <f t="shared" si="1"/>
        <v>Achived</v>
      </c>
      <c r="R10" t="str">
        <f t="shared" si="2"/>
        <v>High</v>
      </c>
    </row>
    <row r="11" spans="1:18">
      <c r="A11" s="12" t="s">
        <v>58</v>
      </c>
      <c r="B11" s="12" t="s">
        <v>59</v>
      </c>
      <c r="C11" s="12" t="s">
        <v>60</v>
      </c>
      <c r="D11" s="12" t="str">
        <f t="shared" si="0"/>
        <v>South</v>
      </c>
      <c r="E11" s="12" t="s">
        <v>37</v>
      </c>
      <c r="F11" s="12" t="s">
        <v>29</v>
      </c>
      <c r="G11" s="12" t="s">
        <v>48</v>
      </c>
      <c r="H11" s="12">
        <v>44295</v>
      </c>
      <c r="I11" s="12">
        <v>43415</v>
      </c>
      <c r="J11" s="12" t="s">
        <v>21</v>
      </c>
      <c r="K11" s="12" t="s">
        <v>22</v>
      </c>
      <c r="L11" s="12" t="s">
        <v>23</v>
      </c>
      <c r="M11" s="12">
        <v>6</v>
      </c>
      <c r="N11" s="12">
        <v>12029</v>
      </c>
      <c r="O11" s="12" t="s">
        <v>24</v>
      </c>
      <c r="P11" s="12" t="s">
        <v>33</v>
      </c>
      <c r="Q11" t="str">
        <f t="shared" si="1"/>
        <v>Achived</v>
      </c>
      <c r="R11" t="str">
        <f t="shared" si="2"/>
        <v>Normal</v>
      </c>
    </row>
    <row r="12" spans="1:18">
      <c r="A12" s="12" t="s">
        <v>61</v>
      </c>
      <c r="B12" s="12" t="s">
        <v>62</v>
      </c>
      <c r="C12" s="12" t="s">
        <v>17</v>
      </c>
      <c r="D12" s="12" t="str">
        <f t="shared" si="0"/>
        <v>South</v>
      </c>
      <c r="E12" s="12" t="s">
        <v>18</v>
      </c>
      <c r="F12" s="12" t="s">
        <v>29</v>
      </c>
      <c r="G12" s="12" t="s">
        <v>20</v>
      </c>
      <c r="H12" s="12">
        <v>28873</v>
      </c>
      <c r="I12" s="12">
        <v>12516</v>
      </c>
      <c r="J12" s="12" t="s">
        <v>30</v>
      </c>
      <c r="K12" s="12" t="s">
        <v>31</v>
      </c>
      <c r="L12" s="12" t="s">
        <v>32</v>
      </c>
      <c r="M12" s="12">
        <v>4</v>
      </c>
      <c r="N12" s="12">
        <v>7256</v>
      </c>
      <c r="O12" s="12" t="s">
        <v>39</v>
      </c>
      <c r="P12" s="12" t="s">
        <v>33</v>
      </c>
      <c r="Q12" t="str">
        <f t="shared" si="1"/>
        <v>Achived</v>
      </c>
      <c r="R12" t="str">
        <f t="shared" si="2"/>
        <v>Normal</v>
      </c>
    </row>
    <row r="13" spans="1:18">
      <c r="A13" s="12" t="s">
        <v>63</v>
      </c>
      <c r="B13" s="12" t="s">
        <v>64</v>
      </c>
      <c r="C13" s="12" t="s">
        <v>36</v>
      </c>
      <c r="D13" s="12" t="str">
        <f t="shared" si="0"/>
        <v>North</v>
      </c>
      <c r="E13" s="12" t="s">
        <v>65</v>
      </c>
      <c r="F13" s="12" t="s">
        <v>19</v>
      </c>
      <c r="G13" s="12" t="s">
        <v>48</v>
      </c>
      <c r="H13" s="12">
        <v>69667</v>
      </c>
      <c r="I13" s="12">
        <v>30909</v>
      </c>
      <c r="J13" s="12" t="s">
        <v>30</v>
      </c>
      <c r="K13" s="12" t="s">
        <v>31</v>
      </c>
      <c r="L13" s="12" t="s">
        <v>52</v>
      </c>
      <c r="M13" s="12">
        <v>20</v>
      </c>
      <c r="N13" s="12">
        <v>6281</v>
      </c>
      <c r="O13" s="12" t="s">
        <v>24</v>
      </c>
      <c r="P13" s="12"/>
      <c r="Q13" t="str">
        <f t="shared" si="1"/>
        <v>Achived</v>
      </c>
      <c r="R13" t="str">
        <f t="shared" si="2"/>
        <v>High</v>
      </c>
    </row>
    <row r="14" spans="1:18">
      <c r="A14" s="12" t="s">
        <v>66</v>
      </c>
      <c r="B14" s="12" t="s">
        <v>67</v>
      </c>
      <c r="C14" s="12" t="s">
        <v>36</v>
      </c>
      <c r="D14" s="12" t="str">
        <f t="shared" si="0"/>
        <v>North</v>
      </c>
      <c r="E14" s="12" t="s">
        <v>65</v>
      </c>
      <c r="F14" s="12" t="s">
        <v>29</v>
      </c>
      <c r="G14" s="12" t="s">
        <v>48</v>
      </c>
      <c r="H14" s="12">
        <v>31649</v>
      </c>
      <c r="I14" s="12">
        <v>20150</v>
      </c>
      <c r="J14" s="12" t="s">
        <v>21</v>
      </c>
      <c r="K14" s="12" t="s">
        <v>31</v>
      </c>
      <c r="L14" s="12" t="s">
        <v>23</v>
      </c>
      <c r="M14" s="12">
        <v>24</v>
      </c>
      <c r="N14" s="12">
        <v>6431</v>
      </c>
      <c r="O14" s="12" t="s">
        <v>39</v>
      </c>
      <c r="P14" s="12" t="s">
        <v>33</v>
      </c>
      <c r="Q14" t="str">
        <f t="shared" si="1"/>
        <v>Achived</v>
      </c>
      <c r="R14" t="str">
        <f t="shared" si="2"/>
        <v>Normal</v>
      </c>
    </row>
    <row r="15" spans="1:18">
      <c r="A15" s="12" t="s">
        <v>68</v>
      </c>
      <c r="B15" s="12" t="s">
        <v>69</v>
      </c>
      <c r="C15" s="12" t="s">
        <v>17</v>
      </c>
      <c r="D15" s="12" t="str">
        <f t="shared" si="0"/>
        <v>South</v>
      </c>
      <c r="E15" s="12" t="s">
        <v>65</v>
      </c>
      <c r="F15" s="12" t="s">
        <v>29</v>
      </c>
      <c r="G15" s="12" t="s">
        <v>20</v>
      </c>
      <c r="H15" s="12">
        <v>12387</v>
      </c>
      <c r="I15" s="12">
        <v>14593</v>
      </c>
      <c r="J15" s="12" t="s">
        <v>21</v>
      </c>
      <c r="K15" s="12" t="s">
        <v>43</v>
      </c>
      <c r="L15" s="12" t="s">
        <v>32</v>
      </c>
      <c r="M15" s="12">
        <v>6</v>
      </c>
      <c r="N15" s="12">
        <v>-349</v>
      </c>
      <c r="O15" s="12" t="s">
        <v>39</v>
      </c>
      <c r="P15" s="12" t="s">
        <v>33</v>
      </c>
      <c r="Q15" t="str">
        <f t="shared" si="1"/>
        <v>Not Achieved</v>
      </c>
      <c r="R15" t="str">
        <f t="shared" si="2"/>
        <v>Normal</v>
      </c>
    </row>
    <row r="16" spans="1:18">
      <c r="A16" s="12" t="s">
        <v>70</v>
      </c>
      <c r="B16" s="12" t="s">
        <v>71</v>
      </c>
      <c r="C16" s="12" t="s">
        <v>17</v>
      </c>
      <c r="D16" s="12" t="str">
        <f t="shared" si="0"/>
        <v>South</v>
      </c>
      <c r="E16" s="12" t="s">
        <v>57</v>
      </c>
      <c r="F16" s="12" t="s">
        <v>29</v>
      </c>
      <c r="G16" s="12" t="s">
        <v>20</v>
      </c>
      <c r="H16" s="12">
        <v>26099</v>
      </c>
      <c r="I16" s="12">
        <v>31119</v>
      </c>
      <c r="J16" s="12" t="s">
        <v>30</v>
      </c>
      <c r="K16" s="12" t="s">
        <v>31</v>
      </c>
      <c r="L16" s="12" t="s">
        <v>52</v>
      </c>
      <c r="M16" s="12">
        <v>25</v>
      </c>
      <c r="N16" s="12">
        <v>15161</v>
      </c>
      <c r="O16" s="12" t="s">
        <v>24</v>
      </c>
      <c r="P16" s="12" t="s">
        <v>33</v>
      </c>
      <c r="Q16" t="str">
        <f t="shared" si="1"/>
        <v>Not Achieved</v>
      </c>
      <c r="R16" t="str">
        <f t="shared" si="2"/>
        <v>Normal</v>
      </c>
    </row>
    <row r="17" spans="1:18">
      <c r="A17" s="12" t="s">
        <v>72</v>
      </c>
      <c r="B17" s="12" t="s">
        <v>73</v>
      </c>
      <c r="C17" s="12" t="s">
        <v>60</v>
      </c>
      <c r="D17" s="12" t="str">
        <f t="shared" si="0"/>
        <v>South</v>
      </c>
      <c r="E17" s="12" t="s">
        <v>28</v>
      </c>
      <c r="F17" s="12" t="s">
        <v>19</v>
      </c>
      <c r="G17" s="12" t="s">
        <v>20</v>
      </c>
      <c r="H17" s="12">
        <v>19360</v>
      </c>
      <c r="I17" s="12">
        <v>30437</v>
      </c>
      <c r="J17" s="12" t="s">
        <v>21</v>
      </c>
      <c r="K17" s="12" t="s">
        <v>31</v>
      </c>
      <c r="L17" s="12" t="s">
        <v>23</v>
      </c>
      <c r="M17" s="12">
        <v>13</v>
      </c>
      <c r="N17" s="12">
        <v>8440</v>
      </c>
      <c r="O17" s="12" t="s">
        <v>39</v>
      </c>
      <c r="P17" s="12" t="s">
        <v>33</v>
      </c>
      <c r="Q17" t="str">
        <f t="shared" si="1"/>
        <v>Not Achieved</v>
      </c>
      <c r="R17" t="str">
        <f t="shared" si="2"/>
        <v>Normal</v>
      </c>
    </row>
    <row r="18" spans="1:18">
      <c r="A18" s="12" t="s">
        <v>74</v>
      </c>
      <c r="B18" s="12" t="s">
        <v>75</v>
      </c>
      <c r="C18" s="12" t="s">
        <v>60</v>
      </c>
      <c r="D18" s="12" t="str">
        <f t="shared" si="0"/>
        <v>South</v>
      </c>
      <c r="E18" s="12" t="s">
        <v>28</v>
      </c>
      <c r="F18" s="12" t="s">
        <v>19</v>
      </c>
      <c r="G18" s="12" t="s">
        <v>42</v>
      </c>
      <c r="H18" s="12">
        <v>47964</v>
      </c>
      <c r="I18" s="12">
        <v>11359</v>
      </c>
      <c r="J18" s="12" t="s">
        <v>30</v>
      </c>
      <c r="K18" s="12" t="s">
        <v>22</v>
      </c>
      <c r="L18" s="12" t="s">
        <v>44</v>
      </c>
      <c r="M18" s="12">
        <v>20</v>
      </c>
      <c r="N18" s="12">
        <v>3298</v>
      </c>
      <c r="O18" s="12" t="s">
        <v>39</v>
      </c>
      <c r="P18" s="12"/>
      <c r="Q18" t="str">
        <f t="shared" si="1"/>
        <v>Achived</v>
      </c>
      <c r="R18" t="str">
        <f t="shared" si="2"/>
        <v>Normal</v>
      </c>
    </row>
    <row r="19" spans="1:18">
      <c r="A19" s="12" t="s">
        <v>76</v>
      </c>
      <c r="B19" s="12" t="s">
        <v>77</v>
      </c>
      <c r="C19" s="12" t="s">
        <v>36</v>
      </c>
      <c r="D19" s="12" t="str">
        <f t="shared" si="0"/>
        <v>North</v>
      </c>
      <c r="E19" s="12" t="s">
        <v>65</v>
      </c>
      <c r="F19" s="12" t="s">
        <v>19</v>
      </c>
      <c r="G19" s="12" t="s">
        <v>38</v>
      </c>
      <c r="H19" s="12">
        <v>64906</v>
      </c>
      <c r="I19" s="12">
        <v>22941</v>
      </c>
      <c r="J19" s="12" t="s">
        <v>21</v>
      </c>
      <c r="K19" s="12" t="s">
        <v>43</v>
      </c>
      <c r="L19" s="12" t="s">
        <v>23</v>
      </c>
      <c r="M19" s="12">
        <v>11</v>
      </c>
      <c r="N19" s="12">
        <v>56</v>
      </c>
      <c r="O19" s="12" t="s">
        <v>39</v>
      </c>
      <c r="P19" s="12" t="s">
        <v>33</v>
      </c>
      <c r="Q19" t="str">
        <f t="shared" si="1"/>
        <v>Achived</v>
      </c>
      <c r="R19" t="str">
        <f t="shared" si="2"/>
        <v>High</v>
      </c>
    </row>
    <row r="20" spans="1:18">
      <c r="A20" s="12" t="s">
        <v>78</v>
      </c>
      <c r="B20" s="12" t="s">
        <v>79</v>
      </c>
      <c r="C20" s="12" t="s">
        <v>36</v>
      </c>
      <c r="D20" s="12" t="str">
        <f t="shared" si="0"/>
        <v>North</v>
      </c>
      <c r="E20" s="12" t="s">
        <v>57</v>
      </c>
      <c r="F20" s="12" t="s">
        <v>29</v>
      </c>
      <c r="G20" s="12" t="s">
        <v>38</v>
      </c>
      <c r="H20" s="12">
        <v>18761</v>
      </c>
      <c r="I20" s="12">
        <v>47837</v>
      </c>
      <c r="J20" s="12" t="s">
        <v>21</v>
      </c>
      <c r="K20" s="12" t="s">
        <v>22</v>
      </c>
      <c r="L20" s="12" t="s">
        <v>44</v>
      </c>
      <c r="M20" s="12">
        <v>29</v>
      </c>
      <c r="N20" s="12">
        <v>-1459</v>
      </c>
      <c r="O20" s="12" t="s">
        <v>39</v>
      </c>
      <c r="P20" s="12" t="s">
        <v>33</v>
      </c>
      <c r="Q20" t="str">
        <f t="shared" si="1"/>
        <v>Not Achieved</v>
      </c>
      <c r="R20" t="str">
        <f t="shared" si="2"/>
        <v>Normal</v>
      </c>
    </row>
    <row r="21" spans="1:18">
      <c r="A21" s="12" t="s">
        <v>80</v>
      </c>
      <c r="B21" s="12" t="s">
        <v>81</v>
      </c>
      <c r="C21" s="12" t="s">
        <v>60</v>
      </c>
      <c r="D21" s="12" t="str">
        <f t="shared" si="0"/>
        <v>South</v>
      </c>
      <c r="E21" s="12" t="s">
        <v>28</v>
      </c>
      <c r="F21" s="12" t="s">
        <v>29</v>
      </c>
      <c r="G21" s="12" t="s">
        <v>38</v>
      </c>
      <c r="H21" s="12">
        <v>29729</v>
      </c>
      <c r="I21" s="12">
        <v>22997</v>
      </c>
      <c r="J21" s="12" t="s">
        <v>21</v>
      </c>
      <c r="K21" s="12" t="s">
        <v>43</v>
      </c>
      <c r="L21" s="12" t="s">
        <v>32</v>
      </c>
      <c r="M21" s="12">
        <v>28</v>
      </c>
      <c r="N21" s="12">
        <v>11944</v>
      </c>
      <c r="O21" s="12" t="s">
        <v>39</v>
      </c>
      <c r="P21" s="12"/>
      <c r="Q21" t="str">
        <f t="shared" si="1"/>
        <v>Achived</v>
      </c>
      <c r="R21" t="str">
        <f t="shared" si="2"/>
        <v>Normal</v>
      </c>
    </row>
    <row r="22" spans="1:18">
      <c r="A22" s="12" t="s">
        <v>82</v>
      </c>
      <c r="B22" s="12" t="s">
        <v>83</v>
      </c>
      <c r="C22" s="12" t="s">
        <v>51</v>
      </c>
      <c r="D22" s="12" t="str">
        <f t="shared" si="0"/>
        <v>East</v>
      </c>
      <c r="E22" s="12" t="s">
        <v>28</v>
      </c>
      <c r="F22" s="12" t="s">
        <v>29</v>
      </c>
      <c r="G22" s="12" t="s">
        <v>20</v>
      </c>
      <c r="H22" s="12">
        <v>54227</v>
      </c>
      <c r="I22" s="12">
        <v>31452</v>
      </c>
      <c r="J22" s="12" t="s">
        <v>21</v>
      </c>
      <c r="K22" s="12" t="s">
        <v>31</v>
      </c>
      <c r="L22" s="12" t="s">
        <v>23</v>
      </c>
      <c r="M22" s="12">
        <v>11</v>
      </c>
      <c r="N22" s="12">
        <v>3069</v>
      </c>
      <c r="O22" s="12" t="s">
        <v>39</v>
      </c>
      <c r="P22" s="12" t="s">
        <v>33</v>
      </c>
      <c r="Q22" t="str">
        <f t="shared" si="1"/>
        <v>Achived</v>
      </c>
      <c r="R22" t="str">
        <f t="shared" si="2"/>
        <v>High</v>
      </c>
    </row>
    <row r="23" spans="1:18">
      <c r="A23" s="12" t="s">
        <v>84</v>
      </c>
      <c r="B23" s="12" t="s">
        <v>85</v>
      </c>
      <c r="C23" s="12" t="s">
        <v>47</v>
      </c>
      <c r="D23" s="12" t="str">
        <f t="shared" si="0"/>
        <v>South</v>
      </c>
      <c r="E23" s="12" t="s">
        <v>28</v>
      </c>
      <c r="F23" s="12" t="s">
        <v>19</v>
      </c>
      <c r="G23" s="12" t="s">
        <v>38</v>
      </c>
      <c r="H23" s="12">
        <v>1472</v>
      </c>
      <c r="I23" s="12">
        <v>40535</v>
      </c>
      <c r="J23" s="12" t="s">
        <v>21</v>
      </c>
      <c r="K23" s="12" t="s">
        <v>31</v>
      </c>
      <c r="L23" s="12" t="s">
        <v>52</v>
      </c>
      <c r="M23" s="12">
        <v>22</v>
      </c>
      <c r="N23" s="12">
        <v>3351</v>
      </c>
      <c r="O23" s="12" t="s">
        <v>39</v>
      </c>
      <c r="P23" s="12" t="s">
        <v>33</v>
      </c>
      <c r="Q23" t="str">
        <f t="shared" si="1"/>
        <v>Not Achieved</v>
      </c>
      <c r="R23" t="str">
        <f t="shared" si="2"/>
        <v>Normal</v>
      </c>
    </row>
    <row r="24" spans="1:18">
      <c r="A24" s="12" t="s">
        <v>86</v>
      </c>
      <c r="B24" s="12" t="s">
        <v>87</v>
      </c>
      <c r="C24" s="12" t="s">
        <v>27</v>
      </c>
      <c r="D24" s="12" t="str">
        <f t="shared" si="0"/>
        <v>West</v>
      </c>
      <c r="E24" s="12" t="s">
        <v>18</v>
      </c>
      <c r="F24" s="12" t="s">
        <v>29</v>
      </c>
      <c r="G24" s="12" t="s">
        <v>42</v>
      </c>
      <c r="H24" s="12">
        <v>45574</v>
      </c>
      <c r="I24" s="12">
        <v>26722</v>
      </c>
      <c r="J24" s="12" t="s">
        <v>30</v>
      </c>
      <c r="K24" s="12" t="s">
        <v>22</v>
      </c>
      <c r="L24" s="12" t="s">
        <v>23</v>
      </c>
      <c r="M24" s="12">
        <v>28</v>
      </c>
      <c r="N24" s="12">
        <v>13313</v>
      </c>
      <c r="O24" s="12" t="s">
        <v>24</v>
      </c>
      <c r="P24" s="12" t="s">
        <v>33</v>
      </c>
      <c r="Q24" t="str">
        <f t="shared" si="1"/>
        <v>Achived</v>
      </c>
      <c r="R24" t="str">
        <f t="shared" si="2"/>
        <v>Normal</v>
      </c>
    </row>
    <row r="25" spans="1:18">
      <c r="A25" s="12" t="s">
        <v>88</v>
      </c>
      <c r="B25" s="12" t="s">
        <v>89</v>
      </c>
      <c r="C25" s="12" t="s">
        <v>60</v>
      </c>
      <c r="D25" s="12" t="str">
        <f t="shared" si="0"/>
        <v>South</v>
      </c>
      <c r="E25" s="12" t="s">
        <v>37</v>
      </c>
      <c r="F25" s="12" t="s">
        <v>19</v>
      </c>
      <c r="G25" s="12" t="s">
        <v>38</v>
      </c>
      <c r="H25" s="12">
        <v>18965</v>
      </c>
      <c r="I25" s="12">
        <v>58750</v>
      </c>
      <c r="J25" s="12" t="s">
        <v>21</v>
      </c>
      <c r="K25" s="12" t="s">
        <v>22</v>
      </c>
      <c r="L25" s="12" t="s">
        <v>44</v>
      </c>
      <c r="M25" s="12">
        <v>4</v>
      </c>
      <c r="N25" s="12">
        <v>1622</v>
      </c>
      <c r="O25" s="12" t="s">
        <v>39</v>
      </c>
      <c r="P25" s="12" t="s">
        <v>33</v>
      </c>
      <c r="Q25" t="str">
        <f t="shared" si="1"/>
        <v>Not Achieved</v>
      </c>
      <c r="R25" t="str">
        <f t="shared" si="2"/>
        <v>Normal</v>
      </c>
    </row>
    <row r="26" spans="1:18">
      <c r="A26" s="12" t="s">
        <v>90</v>
      </c>
      <c r="B26" s="12" t="s">
        <v>83</v>
      </c>
      <c r="C26" s="12" t="s">
        <v>17</v>
      </c>
      <c r="D26" s="12" t="str">
        <f t="shared" si="0"/>
        <v>South</v>
      </c>
      <c r="E26" s="12" t="s">
        <v>37</v>
      </c>
      <c r="F26" s="12" t="s">
        <v>29</v>
      </c>
      <c r="G26" s="12" t="s">
        <v>20</v>
      </c>
      <c r="H26" s="12">
        <v>10975</v>
      </c>
      <c r="I26" s="12">
        <v>43232</v>
      </c>
      <c r="J26" s="12" t="s">
        <v>30</v>
      </c>
      <c r="K26" s="12" t="s">
        <v>43</v>
      </c>
      <c r="L26" s="12" t="s">
        <v>32</v>
      </c>
      <c r="M26" s="12">
        <v>27</v>
      </c>
      <c r="N26" s="12">
        <v>15688</v>
      </c>
      <c r="O26" s="12" t="s">
        <v>24</v>
      </c>
      <c r="P26" s="12"/>
      <c r="Q26" t="str">
        <f t="shared" si="1"/>
        <v>Not Achieved</v>
      </c>
      <c r="R26" t="str">
        <f t="shared" si="2"/>
        <v>Normal</v>
      </c>
    </row>
    <row r="27" spans="1:18">
      <c r="A27" s="12" t="s">
        <v>91</v>
      </c>
      <c r="B27" s="12" t="s">
        <v>62</v>
      </c>
      <c r="C27" s="12" t="s">
        <v>47</v>
      </c>
      <c r="D27" s="12" t="str">
        <f t="shared" si="0"/>
        <v>South</v>
      </c>
      <c r="E27" s="12" t="s">
        <v>37</v>
      </c>
      <c r="F27" s="12" t="s">
        <v>29</v>
      </c>
      <c r="G27" s="12" t="s">
        <v>48</v>
      </c>
      <c r="H27" s="12">
        <v>63714</v>
      </c>
      <c r="I27" s="12">
        <v>33030</v>
      </c>
      <c r="J27" s="12" t="s">
        <v>30</v>
      </c>
      <c r="K27" s="12" t="s">
        <v>31</v>
      </c>
      <c r="L27" s="12" t="s">
        <v>32</v>
      </c>
      <c r="M27" s="12">
        <v>17</v>
      </c>
      <c r="N27" s="12">
        <v>14152</v>
      </c>
      <c r="O27" s="12" t="s">
        <v>24</v>
      </c>
      <c r="P27" s="12" t="s">
        <v>33</v>
      </c>
      <c r="Q27" t="str">
        <f t="shared" si="1"/>
        <v>Achived</v>
      </c>
      <c r="R27" t="str">
        <f t="shared" si="2"/>
        <v>High</v>
      </c>
    </row>
    <row r="28" spans="1:18">
      <c r="A28" s="12" t="s">
        <v>92</v>
      </c>
      <c r="B28" s="12" t="s">
        <v>93</v>
      </c>
      <c r="C28" s="12" t="s">
        <v>51</v>
      </c>
      <c r="D28" s="12" t="str">
        <f t="shared" si="0"/>
        <v>East</v>
      </c>
      <c r="E28" s="12" t="s">
        <v>57</v>
      </c>
      <c r="F28" s="12" t="s">
        <v>29</v>
      </c>
      <c r="G28" s="12" t="s">
        <v>42</v>
      </c>
      <c r="H28" s="12">
        <v>21464</v>
      </c>
      <c r="I28" s="12">
        <v>14424</v>
      </c>
      <c r="J28" s="12" t="s">
        <v>30</v>
      </c>
      <c r="K28" s="12" t="s">
        <v>22</v>
      </c>
      <c r="L28" s="12" t="s">
        <v>44</v>
      </c>
      <c r="M28" s="12">
        <v>14</v>
      </c>
      <c r="N28" s="12">
        <v>-176</v>
      </c>
      <c r="O28" s="12" t="s">
        <v>39</v>
      </c>
      <c r="P28" s="12" t="s">
        <v>33</v>
      </c>
      <c r="Q28" t="str">
        <f t="shared" si="1"/>
        <v>Achived</v>
      </c>
      <c r="R28" t="str">
        <f t="shared" si="2"/>
        <v>Normal</v>
      </c>
    </row>
    <row r="29" spans="1:18">
      <c r="A29" s="12" t="s">
        <v>94</v>
      </c>
      <c r="B29" s="12" t="s">
        <v>95</v>
      </c>
      <c r="C29" s="12" t="s">
        <v>60</v>
      </c>
      <c r="D29" s="12" t="str">
        <f t="shared" si="0"/>
        <v>South</v>
      </c>
      <c r="E29" s="12" t="s">
        <v>28</v>
      </c>
      <c r="F29" s="12" t="s">
        <v>19</v>
      </c>
      <c r="G29" s="12" t="s">
        <v>38</v>
      </c>
      <c r="H29" s="12">
        <v>69681</v>
      </c>
      <c r="I29" s="12">
        <v>22709</v>
      </c>
      <c r="J29" s="12" t="s">
        <v>21</v>
      </c>
      <c r="K29" s="12" t="s">
        <v>22</v>
      </c>
      <c r="L29" s="12" t="s">
        <v>44</v>
      </c>
      <c r="M29" s="12">
        <v>22</v>
      </c>
      <c r="N29" s="12">
        <v>11220</v>
      </c>
      <c r="O29" s="12" t="s">
        <v>24</v>
      </c>
      <c r="P29" s="12" t="s">
        <v>33</v>
      </c>
      <c r="Q29" t="str">
        <f t="shared" si="1"/>
        <v>Achived</v>
      </c>
      <c r="R29" t="str">
        <f t="shared" si="2"/>
        <v>High</v>
      </c>
    </row>
    <row r="30" spans="1:18">
      <c r="A30" s="12" t="s">
        <v>96</v>
      </c>
      <c r="B30" s="12" t="s">
        <v>97</v>
      </c>
      <c r="C30" s="12" t="s">
        <v>47</v>
      </c>
      <c r="D30" s="12" t="str">
        <f t="shared" si="0"/>
        <v>South</v>
      </c>
      <c r="E30" s="12" t="s">
        <v>18</v>
      </c>
      <c r="F30" s="12" t="s">
        <v>29</v>
      </c>
      <c r="G30" s="12" t="s">
        <v>42</v>
      </c>
      <c r="H30" s="12">
        <v>12605</v>
      </c>
      <c r="I30" s="12">
        <v>52898</v>
      </c>
      <c r="J30" s="12" t="s">
        <v>30</v>
      </c>
      <c r="K30" s="12" t="s">
        <v>31</v>
      </c>
      <c r="L30" s="12" t="s">
        <v>44</v>
      </c>
      <c r="M30" s="12">
        <v>22</v>
      </c>
      <c r="N30" s="12">
        <v>9282</v>
      </c>
      <c r="O30" s="12" t="s">
        <v>39</v>
      </c>
      <c r="P30" s="12" t="s">
        <v>33</v>
      </c>
      <c r="Q30" t="str">
        <f t="shared" si="1"/>
        <v>Not Achieved</v>
      </c>
      <c r="R30" t="str">
        <f t="shared" si="2"/>
        <v>Normal</v>
      </c>
    </row>
    <row r="31" spans="1:18">
      <c r="A31" s="12" t="s">
        <v>98</v>
      </c>
      <c r="B31" s="12" t="s">
        <v>99</v>
      </c>
      <c r="C31" s="12" t="s">
        <v>60</v>
      </c>
      <c r="D31" s="12" t="str">
        <f t="shared" si="0"/>
        <v>South</v>
      </c>
      <c r="E31" s="12" t="s">
        <v>37</v>
      </c>
      <c r="F31" s="12" t="s">
        <v>19</v>
      </c>
      <c r="G31" s="12" t="s">
        <v>20</v>
      </c>
      <c r="H31" s="12">
        <v>34166</v>
      </c>
      <c r="I31" s="12">
        <v>10787</v>
      </c>
      <c r="J31" s="12" t="s">
        <v>30</v>
      </c>
      <c r="K31" s="12" t="s">
        <v>31</v>
      </c>
      <c r="L31" s="12" t="s">
        <v>52</v>
      </c>
      <c r="M31" s="12">
        <v>0</v>
      </c>
      <c r="N31" s="12">
        <v>3413</v>
      </c>
      <c r="O31" s="12" t="s">
        <v>24</v>
      </c>
      <c r="P31" s="12" t="s">
        <v>33</v>
      </c>
      <c r="Q31" t="str">
        <f t="shared" si="1"/>
        <v>Achived</v>
      </c>
      <c r="R31" t="str">
        <f t="shared" si="2"/>
        <v>Normal</v>
      </c>
    </row>
    <row r="32" spans="1:18">
      <c r="A32" s="12" t="s">
        <v>100</v>
      </c>
      <c r="B32" s="12" t="s">
        <v>101</v>
      </c>
      <c r="C32" s="12" t="s">
        <v>47</v>
      </c>
      <c r="D32" s="12" t="str">
        <f t="shared" si="0"/>
        <v>South</v>
      </c>
      <c r="E32" s="12" t="s">
        <v>28</v>
      </c>
      <c r="F32" s="12" t="s">
        <v>19</v>
      </c>
      <c r="G32" s="12" t="s">
        <v>38</v>
      </c>
      <c r="H32" s="12">
        <v>3697</v>
      </c>
      <c r="I32" s="12">
        <v>45050</v>
      </c>
      <c r="J32" s="12" t="s">
        <v>30</v>
      </c>
      <c r="K32" s="12" t="s">
        <v>22</v>
      </c>
      <c r="L32" s="12" t="s">
        <v>44</v>
      </c>
      <c r="M32" s="12">
        <v>10</v>
      </c>
      <c r="N32" s="12">
        <v>4772</v>
      </c>
      <c r="O32" s="12" t="s">
        <v>24</v>
      </c>
      <c r="P32" s="12" t="s">
        <v>33</v>
      </c>
      <c r="Q32" t="str">
        <f t="shared" si="1"/>
        <v>Not Achieved</v>
      </c>
      <c r="R32" t="str">
        <f t="shared" si="2"/>
        <v>Normal</v>
      </c>
    </row>
    <row r="33" spans="1:18">
      <c r="A33" s="12" t="s">
        <v>102</v>
      </c>
      <c r="B33" s="12" t="s">
        <v>41</v>
      </c>
      <c r="C33" s="12" t="s">
        <v>47</v>
      </c>
      <c r="D33" s="12" t="str">
        <f t="shared" si="0"/>
        <v>South</v>
      </c>
      <c r="E33" s="12" t="s">
        <v>65</v>
      </c>
      <c r="F33" s="12" t="s">
        <v>29</v>
      </c>
      <c r="G33" s="12" t="s">
        <v>48</v>
      </c>
      <c r="H33" s="12">
        <v>46409</v>
      </c>
      <c r="I33" s="12">
        <v>51668</v>
      </c>
      <c r="J33" s="12" t="s">
        <v>30</v>
      </c>
      <c r="K33" s="12" t="s">
        <v>22</v>
      </c>
      <c r="L33" s="12" t="s">
        <v>32</v>
      </c>
      <c r="M33" s="12">
        <v>12</v>
      </c>
      <c r="N33" s="12">
        <v>17512</v>
      </c>
      <c r="O33" s="12" t="s">
        <v>24</v>
      </c>
      <c r="P33" s="12" t="s">
        <v>33</v>
      </c>
      <c r="Q33" t="str">
        <f t="shared" si="1"/>
        <v>Not Achieved</v>
      </c>
      <c r="R33" t="str">
        <f t="shared" si="2"/>
        <v>Normal</v>
      </c>
    </row>
    <row r="34" spans="1:18">
      <c r="A34" s="12" t="s">
        <v>103</v>
      </c>
      <c r="B34" s="12" t="s">
        <v>104</v>
      </c>
      <c r="C34" s="12" t="s">
        <v>60</v>
      </c>
      <c r="D34" s="12" t="str">
        <f t="shared" si="0"/>
        <v>South</v>
      </c>
      <c r="E34" s="12" t="s">
        <v>57</v>
      </c>
      <c r="F34" s="12" t="s">
        <v>29</v>
      </c>
      <c r="G34" s="12" t="s">
        <v>48</v>
      </c>
      <c r="H34" s="12">
        <v>4453</v>
      </c>
      <c r="I34" s="12">
        <v>59934</v>
      </c>
      <c r="J34" s="12" t="s">
        <v>21</v>
      </c>
      <c r="K34" s="12" t="s">
        <v>43</v>
      </c>
      <c r="L34" s="12" t="s">
        <v>44</v>
      </c>
      <c r="M34" s="12">
        <v>6</v>
      </c>
      <c r="N34" s="12">
        <v>2331</v>
      </c>
      <c r="O34" s="12" t="s">
        <v>24</v>
      </c>
      <c r="P34" s="12" t="s">
        <v>33</v>
      </c>
      <c r="Q34" t="str">
        <f t="shared" si="1"/>
        <v>Not Achieved</v>
      </c>
      <c r="R34" t="str">
        <f t="shared" si="2"/>
        <v>Normal</v>
      </c>
    </row>
    <row r="35" spans="1:18">
      <c r="A35" s="12" t="s">
        <v>105</v>
      </c>
      <c r="B35" s="12" t="s">
        <v>106</v>
      </c>
      <c r="C35" s="12" t="s">
        <v>47</v>
      </c>
      <c r="D35" s="12" t="str">
        <f t="shared" si="0"/>
        <v>South</v>
      </c>
      <c r="E35" s="12" t="s">
        <v>18</v>
      </c>
      <c r="F35" s="12" t="s">
        <v>19</v>
      </c>
      <c r="G35" s="12" t="s">
        <v>42</v>
      </c>
      <c r="H35" s="12">
        <v>59611</v>
      </c>
      <c r="I35" s="12">
        <v>36782</v>
      </c>
      <c r="J35" s="12" t="s">
        <v>21</v>
      </c>
      <c r="K35" s="12" t="s">
        <v>31</v>
      </c>
      <c r="L35" s="12" t="s">
        <v>44</v>
      </c>
      <c r="M35" s="12">
        <v>2</v>
      </c>
      <c r="N35" s="12">
        <v>4048</v>
      </c>
      <c r="O35" s="12" t="s">
        <v>39</v>
      </c>
      <c r="P35" s="12"/>
      <c r="Q35" t="str">
        <f t="shared" si="1"/>
        <v>Achived</v>
      </c>
      <c r="R35" t="str">
        <f t="shared" si="2"/>
        <v>High</v>
      </c>
    </row>
    <row r="36" spans="1:18">
      <c r="A36" s="12" t="s">
        <v>107</v>
      </c>
      <c r="B36" s="12" t="s">
        <v>108</v>
      </c>
      <c r="C36" s="12" t="s">
        <v>47</v>
      </c>
      <c r="D36" s="12" t="str">
        <f t="shared" si="0"/>
        <v>South</v>
      </c>
      <c r="E36" s="12" t="s">
        <v>28</v>
      </c>
      <c r="F36" s="12" t="s">
        <v>19</v>
      </c>
      <c r="G36" s="12" t="s">
        <v>38</v>
      </c>
      <c r="H36" s="12">
        <v>56703</v>
      </c>
      <c r="I36" s="12">
        <v>31586</v>
      </c>
      <c r="J36" s="12" t="s">
        <v>21</v>
      </c>
      <c r="K36" s="12" t="s">
        <v>31</v>
      </c>
      <c r="L36" s="12" t="s">
        <v>32</v>
      </c>
      <c r="M36" s="12">
        <v>1</v>
      </c>
      <c r="N36" s="12">
        <v>10550</v>
      </c>
      <c r="O36" s="12" t="s">
        <v>24</v>
      </c>
      <c r="P36" s="12" t="s">
        <v>33</v>
      </c>
      <c r="Q36" t="str">
        <f t="shared" si="1"/>
        <v>Achived</v>
      </c>
      <c r="R36" t="str">
        <f t="shared" si="2"/>
        <v>High</v>
      </c>
    </row>
    <row r="37" spans="1:18">
      <c r="A37" s="12" t="s">
        <v>109</v>
      </c>
      <c r="B37" s="12" t="s">
        <v>110</v>
      </c>
      <c r="C37" s="12" t="s">
        <v>27</v>
      </c>
      <c r="D37" s="12" t="str">
        <f t="shared" si="0"/>
        <v>West</v>
      </c>
      <c r="E37" s="12" t="s">
        <v>18</v>
      </c>
      <c r="F37" s="12" t="s">
        <v>19</v>
      </c>
      <c r="G37" s="12" t="s">
        <v>38</v>
      </c>
      <c r="H37" s="12">
        <v>12056</v>
      </c>
      <c r="I37" s="12">
        <v>39141</v>
      </c>
      <c r="J37" s="12" t="s">
        <v>30</v>
      </c>
      <c r="K37" s="12" t="s">
        <v>22</v>
      </c>
      <c r="L37" s="12" t="s">
        <v>23</v>
      </c>
      <c r="M37" s="12">
        <v>6</v>
      </c>
      <c r="N37" s="12">
        <v>5056</v>
      </c>
      <c r="O37" s="12" t="s">
        <v>24</v>
      </c>
      <c r="P37" s="12" t="s">
        <v>33</v>
      </c>
      <c r="Q37" t="str">
        <f t="shared" si="1"/>
        <v>Not Achieved</v>
      </c>
      <c r="R37" t="str">
        <f t="shared" si="2"/>
        <v>Normal</v>
      </c>
    </row>
    <row r="38" spans="1:18">
      <c r="A38" s="12" t="s">
        <v>111</v>
      </c>
      <c r="B38" s="12" t="s">
        <v>112</v>
      </c>
      <c r="C38" s="12" t="s">
        <v>27</v>
      </c>
      <c r="D38" s="12" t="str">
        <f t="shared" si="0"/>
        <v>West</v>
      </c>
      <c r="E38" s="12" t="s">
        <v>18</v>
      </c>
      <c r="F38" s="12" t="s">
        <v>29</v>
      </c>
      <c r="G38" s="12" t="s">
        <v>20</v>
      </c>
      <c r="H38" s="12">
        <v>51048</v>
      </c>
      <c r="I38" s="12">
        <v>36832</v>
      </c>
      <c r="J38" s="12" t="s">
        <v>30</v>
      </c>
      <c r="K38" s="12" t="s">
        <v>43</v>
      </c>
      <c r="L38" s="12" t="s">
        <v>44</v>
      </c>
      <c r="M38" s="12">
        <v>20</v>
      </c>
      <c r="N38" s="12">
        <v>2841</v>
      </c>
      <c r="O38" s="12" t="s">
        <v>39</v>
      </c>
      <c r="P38" s="12" t="s">
        <v>33</v>
      </c>
      <c r="Q38" t="str">
        <f t="shared" si="1"/>
        <v>Achived</v>
      </c>
      <c r="R38" t="str">
        <f t="shared" si="2"/>
        <v>High</v>
      </c>
    </row>
    <row r="39" spans="1:18">
      <c r="A39" s="12" t="s">
        <v>113</v>
      </c>
      <c r="B39" s="12" t="s">
        <v>85</v>
      </c>
      <c r="C39" s="12" t="s">
        <v>60</v>
      </c>
      <c r="D39" s="12" t="str">
        <f t="shared" si="0"/>
        <v>South</v>
      </c>
      <c r="E39" s="12" t="s">
        <v>28</v>
      </c>
      <c r="F39" s="12" t="s">
        <v>29</v>
      </c>
      <c r="G39" s="12" t="s">
        <v>20</v>
      </c>
      <c r="H39" s="12">
        <v>57071</v>
      </c>
      <c r="I39" s="12">
        <v>11650</v>
      </c>
      <c r="J39" s="12" t="s">
        <v>21</v>
      </c>
      <c r="K39" s="12" t="s">
        <v>22</v>
      </c>
      <c r="L39" s="12" t="s">
        <v>32</v>
      </c>
      <c r="M39" s="12">
        <v>21</v>
      </c>
      <c r="N39" s="12">
        <v>2721</v>
      </c>
      <c r="O39" s="12" t="s">
        <v>39</v>
      </c>
      <c r="P39" s="12" t="s">
        <v>33</v>
      </c>
      <c r="Q39" t="str">
        <f t="shared" si="1"/>
        <v>Achived</v>
      </c>
      <c r="R39" t="str">
        <f t="shared" si="2"/>
        <v>High</v>
      </c>
    </row>
    <row r="40" spans="1:18">
      <c r="A40" s="12" t="s">
        <v>114</v>
      </c>
      <c r="B40" s="12" t="s">
        <v>115</v>
      </c>
      <c r="C40" s="12" t="s">
        <v>27</v>
      </c>
      <c r="D40" s="12" t="str">
        <f t="shared" si="0"/>
        <v>West</v>
      </c>
      <c r="E40" s="12" t="s">
        <v>28</v>
      </c>
      <c r="F40" s="12" t="s">
        <v>29</v>
      </c>
      <c r="G40" s="12" t="s">
        <v>20</v>
      </c>
      <c r="H40" s="12">
        <v>49502</v>
      </c>
      <c r="I40" s="12">
        <v>49632</v>
      </c>
      <c r="J40" s="12" t="s">
        <v>30</v>
      </c>
      <c r="K40" s="12" t="s">
        <v>31</v>
      </c>
      <c r="L40" s="12" t="s">
        <v>23</v>
      </c>
      <c r="M40" s="12">
        <v>12</v>
      </c>
      <c r="N40" s="12">
        <v>14588</v>
      </c>
      <c r="O40" s="12" t="s">
        <v>24</v>
      </c>
      <c r="P40" s="12" t="s">
        <v>33</v>
      </c>
      <c r="Q40" t="str">
        <f t="shared" si="1"/>
        <v>Not Achieved</v>
      </c>
      <c r="R40" t="str">
        <f t="shared" si="2"/>
        <v>Normal</v>
      </c>
    </row>
    <row r="41" spans="1:18">
      <c r="A41" s="12" t="s">
        <v>116</v>
      </c>
      <c r="B41" s="12" t="s">
        <v>117</v>
      </c>
      <c r="C41" s="12" t="s">
        <v>47</v>
      </c>
      <c r="D41" s="12" t="str">
        <f t="shared" si="0"/>
        <v>South</v>
      </c>
      <c r="E41" s="12" t="s">
        <v>57</v>
      </c>
      <c r="F41" s="12" t="s">
        <v>19</v>
      </c>
      <c r="G41" s="12" t="s">
        <v>38</v>
      </c>
      <c r="H41" s="12">
        <v>58914</v>
      </c>
      <c r="I41" s="12">
        <v>41016</v>
      </c>
      <c r="J41" s="12" t="s">
        <v>21</v>
      </c>
      <c r="K41" s="12" t="s">
        <v>22</v>
      </c>
      <c r="L41" s="12" t="s">
        <v>44</v>
      </c>
      <c r="M41" s="12">
        <v>30</v>
      </c>
      <c r="N41" s="12">
        <v>14974</v>
      </c>
      <c r="O41" s="12" t="s">
        <v>39</v>
      </c>
      <c r="P41" s="12" t="s">
        <v>33</v>
      </c>
      <c r="Q41" t="str">
        <f t="shared" si="1"/>
        <v>Achived</v>
      </c>
      <c r="R41" t="str">
        <f t="shared" si="2"/>
        <v>High</v>
      </c>
    </row>
    <row r="42" spans="1:18">
      <c r="A42" s="12" t="s">
        <v>118</v>
      </c>
      <c r="B42" s="12" t="s">
        <v>108</v>
      </c>
      <c r="C42" s="12" t="s">
        <v>27</v>
      </c>
      <c r="D42" s="12" t="str">
        <f t="shared" si="0"/>
        <v>West</v>
      </c>
      <c r="E42" s="12" t="s">
        <v>65</v>
      </c>
      <c r="F42" s="12" t="s">
        <v>29</v>
      </c>
      <c r="G42" s="12" t="s">
        <v>20</v>
      </c>
      <c r="H42" s="12">
        <v>42423</v>
      </c>
      <c r="I42" s="12">
        <v>52142</v>
      </c>
      <c r="J42" s="12" t="s">
        <v>30</v>
      </c>
      <c r="K42" s="12" t="s">
        <v>22</v>
      </c>
      <c r="L42" s="12" t="s">
        <v>52</v>
      </c>
      <c r="M42" s="12">
        <v>9</v>
      </c>
      <c r="N42" s="12">
        <v>17435</v>
      </c>
      <c r="O42" s="12" t="s">
        <v>24</v>
      </c>
      <c r="P42" s="12" t="s">
        <v>33</v>
      </c>
      <c r="Q42" t="str">
        <f t="shared" si="1"/>
        <v>Not Achieved</v>
      </c>
      <c r="R42" t="str">
        <f t="shared" si="2"/>
        <v>Normal</v>
      </c>
    </row>
    <row r="43" spans="1:18">
      <c r="A43" s="12" t="s">
        <v>119</v>
      </c>
      <c r="B43" s="12" t="s">
        <v>50</v>
      </c>
      <c r="C43" s="12" t="s">
        <v>17</v>
      </c>
      <c r="D43" s="12" t="str">
        <f t="shared" si="0"/>
        <v>South</v>
      </c>
      <c r="E43" s="12" t="s">
        <v>28</v>
      </c>
      <c r="F43" s="12" t="s">
        <v>29</v>
      </c>
      <c r="G43" s="12" t="s">
        <v>48</v>
      </c>
      <c r="H43" s="12">
        <v>24307</v>
      </c>
      <c r="I43" s="12">
        <v>27329</v>
      </c>
      <c r="J43" s="12" t="s">
        <v>21</v>
      </c>
      <c r="K43" s="12" t="s">
        <v>22</v>
      </c>
      <c r="L43" s="12" t="s">
        <v>23</v>
      </c>
      <c r="M43" s="12">
        <v>8</v>
      </c>
      <c r="N43" s="12">
        <v>-660</v>
      </c>
      <c r="O43" s="12" t="s">
        <v>24</v>
      </c>
      <c r="P43" s="12" t="s">
        <v>33</v>
      </c>
      <c r="Q43" t="str">
        <f t="shared" si="1"/>
        <v>Not Achieved</v>
      </c>
      <c r="R43" t="str">
        <f t="shared" si="2"/>
        <v>Normal</v>
      </c>
    </row>
    <row r="44" spans="1:18">
      <c r="A44" s="12" t="s">
        <v>120</v>
      </c>
      <c r="B44" s="12" t="s">
        <v>95</v>
      </c>
      <c r="C44" s="12" t="s">
        <v>60</v>
      </c>
      <c r="D44" s="12" t="str">
        <f t="shared" si="0"/>
        <v>South</v>
      </c>
      <c r="E44" s="12" t="s">
        <v>65</v>
      </c>
      <c r="F44" s="12" t="s">
        <v>29</v>
      </c>
      <c r="G44" s="12" t="s">
        <v>42</v>
      </c>
      <c r="H44" s="12">
        <v>43081</v>
      </c>
      <c r="I44" s="12">
        <v>14741</v>
      </c>
      <c r="J44" s="12" t="s">
        <v>21</v>
      </c>
      <c r="K44" s="12" t="s">
        <v>31</v>
      </c>
      <c r="L44" s="12" t="s">
        <v>32</v>
      </c>
      <c r="M44" s="12">
        <v>14</v>
      </c>
      <c r="N44" s="12">
        <v>8081</v>
      </c>
      <c r="O44" s="12" t="s">
        <v>39</v>
      </c>
      <c r="P44" s="12" t="s">
        <v>33</v>
      </c>
      <c r="Q44" t="str">
        <f t="shared" si="1"/>
        <v>Achived</v>
      </c>
      <c r="R44" t="str">
        <f t="shared" si="2"/>
        <v>Normal</v>
      </c>
    </row>
    <row r="45" spans="1:18">
      <c r="A45" s="12" t="s">
        <v>121</v>
      </c>
      <c r="B45" s="12" t="s">
        <v>122</v>
      </c>
      <c r="C45" s="12" t="s">
        <v>47</v>
      </c>
      <c r="D45" s="12" t="str">
        <f t="shared" si="0"/>
        <v>South</v>
      </c>
      <c r="E45" s="12" t="s">
        <v>28</v>
      </c>
      <c r="F45" s="12" t="s">
        <v>29</v>
      </c>
      <c r="G45" s="12" t="s">
        <v>42</v>
      </c>
      <c r="H45" s="12">
        <v>38833</v>
      </c>
      <c r="I45" s="12">
        <v>11508</v>
      </c>
      <c r="J45" s="12" t="s">
        <v>21</v>
      </c>
      <c r="K45" s="12" t="s">
        <v>22</v>
      </c>
      <c r="L45" s="12" t="s">
        <v>32</v>
      </c>
      <c r="M45" s="12">
        <v>6</v>
      </c>
      <c r="N45" s="12">
        <v>7077</v>
      </c>
      <c r="O45" s="12" t="s">
        <v>24</v>
      </c>
      <c r="P45" s="12" t="s">
        <v>33</v>
      </c>
      <c r="Q45" t="str">
        <f t="shared" si="1"/>
        <v>Achived</v>
      </c>
      <c r="R45" t="str">
        <f t="shared" si="2"/>
        <v>Normal</v>
      </c>
    </row>
    <row r="46" spans="1:18">
      <c r="A46" s="12" t="s">
        <v>123</v>
      </c>
      <c r="B46" s="12" t="s">
        <v>73</v>
      </c>
      <c r="C46" s="12" t="s">
        <v>47</v>
      </c>
      <c r="D46" s="12" t="str">
        <f t="shared" si="0"/>
        <v>South</v>
      </c>
      <c r="E46" s="12" t="s">
        <v>18</v>
      </c>
      <c r="F46" s="12" t="s">
        <v>29</v>
      </c>
      <c r="G46" s="12" t="s">
        <v>20</v>
      </c>
      <c r="H46" s="12">
        <v>66337</v>
      </c>
      <c r="I46" s="12">
        <v>31809</v>
      </c>
      <c r="J46" s="12" t="s">
        <v>21</v>
      </c>
      <c r="K46" s="12" t="s">
        <v>43</v>
      </c>
      <c r="L46" s="12" t="s">
        <v>52</v>
      </c>
      <c r="M46" s="12">
        <v>9</v>
      </c>
      <c r="N46" s="12">
        <v>19440</v>
      </c>
      <c r="O46" s="12" t="s">
        <v>24</v>
      </c>
      <c r="P46" s="12" t="s">
        <v>33</v>
      </c>
      <c r="Q46" t="str">
        <f t="shared" si="1"/>
        <v>Achived</v>
      </c>
      <c r="R46" t="str">
        <f t="shared" si="2"/>
        <v>High</v>
      </c>
    </row>
    <row r="47" spans="1:18">
      <c r="A47" s="12" t="s">
        <v>124</v>
      </c>
      <c r="B47" s="12" t="s">
        <v>125</v>
      </c>
      <c r="C47" s="12" t="s">
        <v>27</v>
      </c>
      <c r="D47" s="12" t="str">
        <f t="shared" si="0"/>
        <v>West</v>
      </c>
      <c r="E47" s="12" t="s">
        <v>37</v>
      </c>
      <c r="F47" s="12" t="s">
        <v>19</v>
      </c>
      <c r="G47" s="12" t="s">
        <v>48</v>
      </c>
      <c r="H47" s="12">
        <v>6659</v>
      </c>
      <c r="I47" s="12">
        <v>47528</v>
      </c>
      <c r="J47" s="12" t="s">
        <v>21</v>
      </c>
      <c r="K47" s="12" t="s">
        <v>31</v>
      </c>
      <c r="L47" s="12" t="s">
        <v>32</v>
      </c>
      <c r="M47" s="12">
        <v>25</v>
      </c>
      <c r="N47" s="12">
        <v>6743</v>
      </c>
      <c r="O47" s="12" t="s">
        <v>24</v>
      </c>
      <c r="P47" s="12" t="s">
        <v>33</v>
      </c>
      <c r="Q47" t="str">
        <f t="shared" si="1"/>
        <v>Not Achieved</v>
      </c>
      <c r="R47" t="str">
        <f t="shared" si="2"/>
        <v>Normal</v>
      </c>
    </row>
    <row r="48" spans="1:18">
      <c r="A48" s="12" t="s">
        <v>126</v>
      </c>
      <c r="B48" s="12" t="s">
        <v>127</v>
      </c>
      <c r="C48" s="12" t="s">
        <v>60</v>
      </c>
      <c r="D48" s="12" t="str">
        <f t="shared" si="0"/>
        <v>South</v>
      </c>
      <c r="E48" s="12" t="s">
        <v>65</v>
      </c>
      <c r="F48" s="12" t="s">
        <v>29</v>
      </c>
      <c r="G48" s="12" t="s">
        <v>42</v>
      </c>
      <c r="H48" s="12">
        <v>9054</v>
      </c>
      <c r="I48" s="12">
        <v>25204</v>
      </c>
      <c r="J48" s="12" t="s">
        <v>30</v>
      </c>
      <c r="K48" s="12" t="s">
        <v>43</v>
      </c>
      <c r="L48" s="12" t="s">
        <v>23</v>
      </c>
      <c r="M48" s="12">
        <v>6</v>
      </c>
      <c r="N48" s="12">
        <v>1413</v>
      </c>
      <c r="O48" s="12" t="s">
        <v>39</v>
      </c>
      <c r="P48" s="12" t="s">
        <v>33</v>
      </c>
      <c r="Q48" t="str">
        <f t="shared" si="1"/>
        <v>Not Achieved</v>
      </c>
      <c r="R48" t="str">
        <f t="shared" si="2"/>
        <v>Normal</v>
      </c>
    </row>
    <row r="49" spans="1:18">
      <c r="A49" s="12" t="s">
        <v>128</v>
      </c>
      <c r="B49" s="12" t="s">
        <v>71</v>
      </c>
      <c r="C49" s="12" t="s">
        <v>36</v>
      </c>
      <c r="D49" s="12" t="str">
        <f t="shared" si="0"/>
        <v>North</v>
      </c>
      <c r="E49" s="12" t="s">
        <v>28</v>
      </c>
      <c r="F49" s="12" t="s">
        <v>29</v>
      </c>
      <c r="G49" s="12" t="s">
        <v>42</v>
      </c>
      <c r="H49" s="12">
        <v>14782</v>
      </c>
      <c r="I49" s="12">
        <v>29349</v>
      </c>
      <c r="J49" s="12" t="s">
        <v>21</v>
      </c>
      <c r="K49" s="12" t="s">
        <v>31</v>
      </c>
      <c r="L49" s="12" t="s">
        <v>23</v>
      </c>
      <c r="M49" s="12">
        <v>11</v>
      </c>
      <c r="N49" s="12">
        <v>2373</v>
      </c>
      <c r="O49" s="12" t="s">
        <v>39</v>
      </c>
      <c r="P49" s="12" t="s">
        <v>33</v>
      </c>
      <c r="Q49" t="str">
        <f t="shared" si="1"/>
        <v>Not Achieved</v>
      </c>
      <c r="R49" t="str">
        <f t="shared" si="2"/>
        <v>Normal</v>
      </c>
    </row>
    <row r="50" spans="1:18">
      <c r="A50" s="12" t="s">
        <v>129</v>
      </c>
      <c r="B50" s="12" t="s">
        <v>130</v>
      </c>
      <c r="C50" s="12" t="s">
        <v>60</v>
      </c>
      <c r="D50" s="12" t="str">
        <f t="shared" si="0"/>
        <v>South</v>
      </c>
      <c r="E50" s="12" t="s">
        <v>65</v>
      </c>
      <c r="F50" s="12" t="s">
        <v>19</v>
      </c>
      <c r="G50" s="12" t="s">
        <v>48</v>
      </c>
      <c r="H50" s="12">
        <v>69784</v>
      </c>
      <c r="I50" s="12">
        <v>27605</v>
      </c>
      <c r="J50" s="12" t="s">
        <v>21</v>
      </c>
      <c r="K50" s="12" t="s">
        <v>22</v>
      </c>
      <c r="L50" s="12" t="s">
        <v>23</v>
      </c>
      <c r="M50" s="12">
        <v>0</v>
      </c>
      <c r="N50" s="12">
        <v>7546</v>
      </c>
      <c r="O50" s="12" t="s">
        <v>24</v>
      </c>
      <c r="P50" s="12" t="s">
        <v>33</v>
      </c>
      <c r="Q50" t="str">
        <f t="shared" si="1"/>
        <v>Achived</v>
      </c>
      <c r="R50" t="str">
        <f t="shared" si="2"/>
        <v>High</v>
      </c>
    </row>
    <row r="51" spans="1:18">
      <c r="A51" s="12" t="s">
        <v>131</v>
      </c>
      <c r="B51" s="12" t="s">
        <v>112</v>
      </c>
      <c r="C51" s="12" t="s">
        <v>36</v>
      </c>
      <c r="D51" s="12" t="str">
        <f t="shared" si="0"/>
        <v>North</v>
      </c>
      <c r="E51" s="12" t="s">
        <v>37</v>
      </c>
      <c r="F51" s="12" t="s">
        <v>19</v>
      </c>
      <c r="G51" s="12" t="s">
        <v>48</v>
      </c>
      <c r="H51" s="12">
        <v>37570</v>
      </c>
      <c r="I51" s="12">
        <v>21892</v>
      </c>
      <c r="J51" s="12" t="s">
        <v>30</v>
      </c>
      <c r="K51" s="12" t="s">
        <v>31</v>
      </c>
      <c r="L51" s="12" t="s">
        <v>32</v>
      </c>
      <c r="M51" s="12">
        <v>20</v>
      </c>
      <c r="N51" s="12">
        <v>12965</v>
      </c>
      <c r="O51" s="12" t="s">
        <v>39</v>
      </c>
      <c r="P51" s="12" t="s">
        <v>33</v>
      </c>
      <c r="Q51" t="str">
        <f t="shared" si="1"/>
        <v>Achived</v>
      </c>
      <c r="R51" t="str">
        <f t="shared" si="2"/>
        <v>Normal</v>
      </c>
    </row>
    <row r="52" spans="1:18">
      <c r="A52" s="12" t="s">
        <v>132</v>
      </c>
      <c r="B52" s="12" t="s">
        <v>133</v>
      </c>
      <c r="C52" s="12" t="s">
        <v>47</v>
      </c>
      <c r="D52" s="12" t="str">
        <f t="shared" si="0"/>
        <v>South</v>
      </c>
      <c r="E52" s="12" t="s">
        <v>65</v>
      </c>
      <c r="F52" s="12" t="s">
        <v>19</v>
      </c>
      <c r="G52" s="12" t="s">
        <v>42</v>
      </c>
      <c r="H52" s="12">
        <v>55300</v>
      </c>
      <c r="I52" s="12">
        <v>30675</v>
      </c>
      <c r="J52" s="12" t="s">
        <v>21</v>
      </c>
      <c r="K52" s="12" t="s">
        <v>31</v>
      </c>
      <c r="L52" s="12" t="s">
        <v>52</v>
      </c>
      <c r="M52" s="12">
        <v>22</v>
      </c>
      <c r="N52" s="12">
        <v>4375</v>
      </c>
      <c r="O52" s="12" t="s">
        <v>24</v>
      </c>
      <c r="P52" s="12" t="s">
        <v>33</v>
      </c>
      <c r="Q52" t="str">
        <f t="shared" si="1"/>
        <v>Achived</v>
      </c>
      <c r="R52" t="str">
        <f t="shared" si="2"/>
        <v>High</v>
      </c>
    </row>
    <row r="53" spans="1:18">
      <c r="A53" s="12" t="s">
        <v>134</v>
      </c>
      <c r="B53" s="12" t="s">
        <v>135</v>
      </c>
      <c r="C53" s="12" t="s">
        <v>47</v>
      </c>
      <c r="D53" s="12" t="str">
        <f t="shared" si="0"/>
        <v>South</v>
      </c>
      <c r="E53" s="12" t="s">
        <v>37</v>
      </c>
      <c r="F53" s="12" t="s">
        <v>19</v>
      </c>
      <c r="G53" s="12" t="s">
        <v>20</v>
      </c>
      <c r="H53" s="12">
        <v>29245</v>
      </c>
      <c r="I53" s="12">
        <v>36897</v>
      </c>
      <c r="J53" s="12" t="s">
        <v>30</v>
      </c>
      <c r="K53" s="12" t="s">
        <v>43</v>
      </c>
      <c r="L53" s="12" t="s">
        <v>32</v>
      </c>
      <c r="M53" s="12">
        <v>25</v>
      </c>
      <c r="N53" s="12">
        <v>15755</v>
      </c>
      <c r="O53" s="12" t="s">
        <v>39</v>
      </c>
      <c r="P53" s="12" t="s">
        <v>33</v>
      </c>
      <c r="Q53" t="str">
        <f t="shared" si="1"/>
        <v>Not Achieved</v>
      </c>
      <c r="R53" t="str">
        <f t="shared" si="2"/>
        <v>Normal</v>
      </c>
    </row>
    <row r="54" spans="1:18">
      <c r="A54" s="12" t="s">
        <v>136</v>
      </c>
      <c r="B54" s="12" t="s">
        <v>137</v>
      </c>
      <c r="C54" s="12" t="s">
        <v>47</v>
      </c>
      <c r="D54" s="12" t="str">
        <f t="shared" si="0"/>
        <v>South</v>
      </c>
      <c r="E54" s="12" t="s">
        <v>18</v>
      </c>
      <c r="F54" s="12" t="s">
        <v>19</v>
      </c>
      <c r="G54" s="12" t="s">
        <v>20</v>
      </c>
      <c r="H54" s="12">
        <v>189</v>
      </c>
      <c r="I54" s="12">
        <v>49748</v>
      </c>
      <c r="J54" s="12" t="s">
        <v>21</v>
      </c>
      <c r="K54" s="12" t="s">
        <v>31</v>
      </c>
      <c r="L54" s="12" t="s">
        <v>23</v>
      </c>
      <c r="M54" s="12">
        <v>8</v>
      </c>
      <c r="N54" s="12">
        <v>10799</v>
      </c>
      <c r="O54" s="12" t="s">
        <v>24</v>
      </c>
      <c r="P54" s="12"/>
      <c r="Q54" t="str">
        <f t="shared" si="1"/>
        <v>Not Achieved</v>
      </c>
      <c r="R54" t="str">
        <f t="shared" si="2"/>
        <v>Normal</v>
      </c>
    </row>
    <row r="55" spans="1:18">
      <c r="A55" s="12" t="s">
        <v>138</v>
      </c>
      <c r="B55" s="12" t="s">
        <v>139</v>
      </c>
      <c r="C55" s="12" t="s">
        <v>27</v>
      </c>
      <c r="D55" s="12" t="str">
        <f t="shared" si="0"/>
        <v>West</v>
      </c>
      <c r="E55" s="12" t="s">
        <v>18</v>
      </c>
      <c r="F55" s="12" t="s">
        <v>29</v>
      </c>
      <c r="G55" s="12" t="s">
        <v>48</v>
      </c>
      <c r="H55" s="12">
        <v>65349</v>
      </c>
      <c r="I55" s="12">
        <v>57387</v>
      </c>
      <c r="J55" s="12" t="s">
        <v>21</v>
      </c>
      <c r="K55" s="12" t="s">
        <v>43</v>
      </c>
      <c r="L55" s="12" t="s">
        <v>44</v>
      </c>
      <c r="M55" s="12">
        <v>14</v>
      </c>
      <c r="N55" s="12">
        <v>14449</v>
      </c>
      <c r="O55" s="12" t="s">
        <v>39</v>
      </c>
      <c r="P55" s="12" t="s">
        <v>33</v>
      </c>
      <c r="Q55" t="str">
        <f t="shared" si="1"/>
        <v>Achived</v>
      </c>
      <c r="R55" t="str">
        <f t="shared" si="2"/>
        <v>High</v>
      </c>
    </row>
    <row r="56" spans="1:18">
      <c r="A56" s="12" t="s">
        <v>140</v>
      </c>
      <c r="B56" s="12" t="s">
        <v>125</v>
      </c>
      <c r="C56" s="12" t="s">
        <v>60</v>
      </c>
      <c r="D56" s="12" t="str">
        <f t="shared" si="0"/>
        <v>South</v>
      </c>
      <c r="E56" s="12" t="s">
        <v>37</v>
      </c>
      <c r="F56" s="12" t="s">
        <v>29</v>
      </c>
      <c r="G56" s="12" t="s">
        <v>42</v>
      </c>
      <c r="H56" s="12">
        <v>69387</v>
      </c>
      <c r="I56" s="12">
        <v>10168</v>
      </c>
      <c r="J56" s="12" t="s">
        <v>21</v>
      </c>
      <c r="K56" s="12" t="s">
        <v>31</v>
      </c>
      <c r="L56" s="12" t="s">
        <v>44</v>
      </c>
      <c r="M56" s="12">
        <v>12</v>
      </c>
      <c r="N56" s="12">
        <v>-28</v>
      </c>
      <c r="O56" s="12" t="s">
        <v>39</v>
      </c>
      <c r="P56" s="12"/>
      <c r="Q56" t="str">
        <f t="shared" si="1"/>
        <v>Achived</v>
      </c>
      <c r="R56" t="str">
        <f t="shared" si="2"/>
        <v>High</v>
      </c>
    </row>
    <row r="57" spans="1:18">
      <c r="A57" s="12" t="s">
        <v>141</v>
      </c>
      <c r="B57" s="12" t="s">
        <v>41</v>
      </c>
      <c r="C57" s="12" t="s">
        <v>51</v>
      </c>
      <c r="D57" s="12" t="str">
        <f t="shared" si="0"/>
        <v>East</v>
      </c>
      <c r="E57" s="12" t="s">
        <v>18</v>
      </c>
      <c r="F57" s="12" t="s">
        <v>29</v>
      </c>
      <c r="G57" s="12" t="s">
        <v>20</v>
      </c>
      <c r="H57" s="12">
        <v>32013</v>
      </c>
      <c r="I57" s="12">
        <v>14862</v>
      </c>
      <c r="J57" s="12" t="s">
        <v>21</v>
      </c>
      <c r="K57" s="12" t="s">
        <v>22</v>
      </c>
      <c r="L57" s="12" t="s">
        <v>23</v>
      </c>
      <c r="M57" s="12">
        <v>12</v>
      </c>
      <c r="N57" s="12">
        <v>3785</v>
      </c>
      <c r="O57" s="12" t="s">
        <v>24</v>
      </c>
      <c r="P57" s="12" t="s">
        <v>33</v>
      </c>
      <c r="Q57" t="str">
        <f t="shared" si="1"/>
        <v>Achived</v>
      </c>
      <c r="R57" t="str">
        <f t="shared" si="2"/>
        <v>Normal</v>
      </c>
    </row>
    <row r="58" spans="1:18">
      <c r="A58" s="12" t="s">
        <v>142</v>
      </c>
      <c r="B58" s="12" t="s">
        <v>143</v>
      </c>
      <c r="C58" s="12" t="s">
        <v>17</v>
      </c>
      <c r="D58" s="12" t="str">
        <f t="shared" si="0"/>
        <v>South</v>
      </c>
      <c r="E58" s="12" t="s">
        <v>65</v>
      </c>
      <c r="F58" s="12" t="s">
        <v>19</v>
      </c>
      <c r="G58" s="12" t="s">
        <v>20</v>
      </c>
      <c r="H58" s="12">
        <v>15307</v>
      </c>
      <c r="I58" s="12">
        <v>18154</v>
      </c>
      <c r="J58" s="12" t="s">
        <v>30</v>
      </c>
      <c r="K58" s="12" t="s">
        <v>31</v>
      </c>
      <c r="L58" s="12" t="s">
        <v>52</v>
      </c>
      <c r="M58" s="12">
        <v>2</v>
      </c>
      <c r="N58" s="12">
        <v>5440</v>
      </c>
      <c r="O58" s="12" t="s">
        <v>39</v>
      </c>
      <c r="P58" s="12" t="s">
        <v>33</v>
      </c>
      <c r="Q58" t="str">
        <f t="shared" si="1"/>
        <v>Not Achieved</v>
      </c>
      <c r="R58" t="str">
        <f t="shared" si="2"/>
        <v>Normal</v>
      </c>
    </row>
    <row r="59" spans="1:18">
      <c r="A59" s="12" t="s">
        <v>144</v>
      </c>
      <c r="B59" s="12" t="s">
        <v>143</v>
      </c>
      <c r="C59" s="12" t="s">
        <v>17</v>
      </c>
      <c r="D59" s="12" t="str">
        <f t="shared" si="0"/>
        <v>South</v>
      </c>
      <c r="E59" s="12" t="s">
        <v>57</v>
      </c>
      <c r="F59" s="12" t="s">
        <v>19</v>
      </c>
      <c r="G59" s="12" t="s">
        <v>20</v>
      </c>
      <c r="H59" s="12">
        <v>59492</v>
      </c>
      <c r="I59" s="12">
        <v>32894</v>
      </c>
      <c r="J59" s="12" t="s">
        <v>30</v>
      </c>
      <c r="K59" s="12" t="s">
        <v>31</v>
      </c>
      <c r="L59" s="12" t="s">
        <v>23</v>
      </c>
      <c r="M59" s="12">
        <v>15</v>
      </c>
      <c r="N59" s="12">
        <v>10702</v>
      </c>
      <c r="O59" s="12" t="s">
        <v>24</v>
      </c>
      <c r="P59" s="12" t="s">
        <v>33</v>
      </c>
      <c r="Q59" t="str">
        <f t="shared" si="1"/>
        <v>Achived</v>
      </c>
      <c r="R59" t="str">
        <f t="shared" si="2"/>
        <v>High</v>
      </c>
    </row>
    <row r="60" spans="1:18">
      <c r="A60" s="12" t="s">
        <v>145</v>
      </c>
      <c r="B60" s="12" t="s">
        <v>146</v>
      </c>
      <c r="C60" s="12" t="s">
        <v>60</v>
      </c>
      <c r="D60" s="12" t="str">
        <f t="shared" si="0"/>
        <v>South</v>
      </c>
      <c r="E60" s="12" t="s">
        <v>18</v>
      </c>
      <c r="F60" s="12" t="s">
        <v>19</v>
      </c>
      <c r="G60" s="12" t="s">
        <v>42</v>
      </c>
      <c r="H60" s="12">
        <v>35971</v>
      </c>
      <c r="I60" s="12">
        <v>36490</v>
      </c>
      <c r="J60" s="12" t="s">
        <v>30</v>
      </c>
      <c r="K60" s="12" t="s">
        <v>43</v>
      </c>
      <c r="L60" s="12" t="s">
        <v>52</v>
      </c>
      <c r="M60" s="12">
        <v>20</v>
      </c>
      <c r="N60" s="12">
        <v>6919</v>
      </c>
      <c r="O60" s="12" t="s">
        <v>39</v>
      </c>
      <c r="P60" s="12" t="s">
        <v>33</v>
      </c>
      <c r="Q60" t="str">
        <f t="shared" si="1"/>
        <v>Not Achieved</v>
      </c>
      <c r="R60" t="str">
        <f t="shared" si="2"/>
        <v>Normal</v>
      </c>
    </row>
    <row r="61" spans="1:18">
      <c r="A61" s="12" t="s">
        <v>147</v>
      </c>
      <c r="B61" s="12" t="s">
        <v>89</v>
      </c>
      <c r="C61" s="12" t="s">
        <v>60</v>
      </c>
      <c r="D61" s="12" t="str">
        <f t="shared" si="0"/>
        <v>South</v>
      </c>
      <c r="E61" s="12" t="s">
        <v>28</v>
      </c>
      <c r="F61" s="12" t="s">
        <v>29</v>
      </c>
      <c r="G61" s="12" t="s">
        <v>48</v>
      </c>
      <c r="H61" s="12">
        <v>16735</v>
      </c>
      <c r="I61" s="12">
        <v>47377</v>
      </c>
      <c r="J61" s="12" t="s">
        <v>21</v>
      </c>
      <c r="K61" s="12" t="s">
        <v>43</v>
      </c>
      <c r="L61" s="12" t="s">
        <v>44</v>
      </c>
      <c r="M61" s="12">
        <v>27</v>
      </c>
      <c r="N61" s="12">
        <v>8866</v>
      </c>
      <c r="O61" s="12" t="s">
        <v>39</v>
      </c>
      <c r="P61" s="12" t="s">
        <v>33</v>
      </c>
      <c r="Q61" t="str">
        <f t="shared" si="1"/>
        <v>Not Achieved</v>
      </c>
      <c r="R61" t="str">
        <f t="shared" si="2"/>
        <v>Normal</v>
      </c>
    </row>
    <row r="62" spans="1:18">
      <c r="A62" s="12" t="s">
        <v>148</v>
      </c>
      <c r="B62" s="12" t="s">
        <v>149</v>
      </c>
      <c r="C62" s="12" t="s">
        <v>17</v>
      </c>
      <c r="D62" s="12" t="str">
        <f t="shared" si="0"/>
        <v>South</v>
      </c>
      <c r="E62" s="12" t="s">
        <v>28</v>
      </c>
      <c r="F62" s="12" t="s">
        <v>29</v>
      </c>
      <c r="G62" s="12" t="s">
        <v>38</v>
      </c>
      <c r="H62" s="12">
        <v>20272</v>
      </c>
      <c r="I62" s="12">
        <v>50954</v>
      </c>
      <c r="J62" s="12" t="s">
        <v>30</v>
      </c>
      <c r="K62" s="12" t="s">
        <v>31</v>
      </c>
      <c r="L62" s="12" t="s">
        <v>23</v>
      </c>
      <c r="M62" s="12">
        <v>22</v>
      </c>
      <c r="N62" s="12">
        <v>2446</v>
      </c>
      <c r="O62" s="12" t="s">
        <v>24</v>
      </c>
      <c r="P62" s="12" t="s">
        <v>33</v>
      </c>
      <c r="Q62" t="str">
        <f t="shared" si="1"/>
        <v>Not Achieved</v>
      </c>
      <c r="R62" t="str">
        <f t="shared" si="2"/>
        <v>Normal</v>
      </c>
    </row>
    <row r="63" spans="1:18">
      <c r="A63" s="12" t="s">
        <v>150</v>
      </c>
      <c r="B63" s="12" t="s">
        <v>149</v>
      </c>
      <c r="C63" s="12" t="s">
        <v>60</v>
      </c>
      <c r="D63" s="12" t="str">
        <f t="shared" si="0"/>
        <v>South</v>
      </c>
      <c r="E63" s="12" t="s">
        <v>37</v>
      </c>
      <c r="F63" s="12" t="s">
        <v>19</v>
      </c>
      <c r="G63" s="12" t="s">
        <v>20</v>
      </c>
      <c r="H63" s="12">
        <v>1300</v>
      </c>
      <c r="I63" s="12">
        <v>50156</v>
      </c>
      <c r="J63" s="12" t="s">
        <v>30</v>
      </c>
      <c r="K63" s="12" t="s">
        <v>43</v>
      </c>
      <c r="L63" s="12" t="s">
        <v>52</v>
      </c>
      <c r="M63" s="12">
        <v>14</v>
      </c>
      <c r="N63" s="12">
        <v>7710</v>
      </c>
      <c r="O63" s="12" t="s">
        <v>24</v>
      </c>
      <c r="P63" s="12" t="s">
        <v>33</v>
      </c>
      <c r="Q63" t="str">
        <f t="shared" si="1"/>
        <v>Not Achieved</v>
      </c>
      <c r="R63" t="str">
        <f t="shared" si="2"/>
        <v>Normal</v>
      </c>
    </row>
    <row r="64" spans="1:18">
      <c r="A64" s="12" t="s">
        <v>151</v>
      </c>
      <c r="B64" s="12" t="s">
        <v>83</v>
      </c>
      <c r="C64" s="12" t="s">
        <v>17</v>
      </c>
      <c r="D64" s="12" t="str">
        <f t="shared" si="0"/>
        <v>South</v>
      </c>
      <c r="E64" s="12" t="s">
        <v>28</v>
      </c>
      <c r="F64" s="12" t="s">
        <v>29</v>
      </c>
      <c r="G64" s="12" t="s">
        <v>42</v>
      </c>
      <c r="H64" s="12">
        <v>2030</v>
      </c>
      <c r="I64" s="12">
        <v>57433</v>
      </c>
      <c r="J64" s="12" t="s">
        <v>30</v>
      </c>
      <c r="K64" s="12" t="s">
        <v>22</v>
      </c>
      <c r="L64" s="12" t="s">
        <v>44</v>
      </c>
      <c r="M64" s="12">
        <v>26</v>
      </c>
      <c r="N64" s="12">
        <v>8889</v>
      </c>
      <c r="O64" s="12" t="s">
        <v>39</v>
      </c>
      <c r="P64" s="12" t="s">
        <v>33</v>
      </c>
      <c r="Q64" t="str">
        <f t="shared" si="1"/>
        <v>Not Achieved</v>
      </c>
      <c r="R64" t="str">
        <f t="shared" si="2"/>
        <v>Normal</v>
      </c>
    </row>
    <row r="65" spans="1:18">
      <c r="A65" s="12" t="s">
        <v>152</v>
      </c>
      <c r="B65" s="12" t="s">
        <v>46</v>
      </c>
      <c r="C65" s="12" t="s">
        <v>36</v>
      </c>
      <c r="D65" s="12" t="str">
        <f t="shared" si="0"/>
        <v>North</v>
      </c>
      <c r="E65" s="12" t="s">
        <v>18</v>
      </c>
      <c r="F65" s="12" t="s">
        <v>19</v>
      </c>
      <c r="G65" s="12" t="s">
        <v>38</v>
      </c>
      <c r="H65" s="12">
        <v>56024</v>
      </c>
      <c r="I65" s="12">
        <v>49981</v>
      </c>
      <c r="J65" s="12" t="s">
        <v>30</v>
      </c>
      <c r="K65" s="12" t="s">
        <v>43</v>
      </c>
      <c r="L65" s="12" t="s">
        <v>23</v>
      </c>
      <c r="M65" s="12">
        <v>20</v>
      </c>
      <c r="N65" s="12">
        <v>13552</v>
      </c>
      <c r="O65" s="12" t="s">
        <v>39</v>
      </c>
      <c r="P65" s="12" t="s">
        <v>33</v>
      </c>
      <c r="Q65" t="str">
        <f t="shared" si="1"/>
        <v>Achived</v>
      </c>
      <c r="R65" t="str">
        <f t="shared" si="2"/>
        <v>High</v>
      </c>
    </row>
    <row r="66" spans="1:18">
      <c r="A66" s="12" t="s">
        <v>153</v>
      </c>
      <c r="B66" s="12" t="s">
        <v>77</v>
      </c>
      <c r="C66" s="12" t="s">
        <v>51</v>
      </c>
      <c r="D66" s="12" t="str">
        <f t="shared" si="0"/>
        <v>East</v>
      </c>
      <c r="E66" s="12" t="s">
        <v>65</v>
      </c>
      <c r="F66" s="12" t="s">
        <v>29</v>
      </c>
      <c r="G66" s="12" t="s">
        <v>38</v>
      </c>
      <c r="H66" s="12">
        <v>46447</v>
      </c>
      <c r="I66" s="12">
        <v>50530</v>
      </c>
      <c r="J66" s="12" t="s">
        <v>21</v>
      </c>
      <c r="K66" s="12" t="s">
        <v>31</v>
      </c>
      <c r="L66" s="12" t="s">
        <v>44</v>
      </c>
      <c r="M66" s="12">
        <v>25</v>
      </c>
      <c r="N66" s="12">
        <v>3586</v>
      </c>
      <c r="O66" s="12" t="s">
        <v>39</v>
      </c>
      <c r="P66" s="12" t="s">
        <v>33</v>
      </c>
      <c r="Q66" t="str">
        <f t="shared" si="1"/>
        <v>Not Achieved</v>
      </c>
      <c r="R66" t="str">
        <f t="shared" si="2"/>
        <v>Normal</v>
      </c>
    </row>
    <row r="67" spans="1:18">
      <c r="A67" s="12" t="s">
        <v>154</v>
      </c>
      <c r="B67" s="12" t="s">
        <v>35</v>
      </c>
      <c r="C67" s="12" t="s">
        <v>17</v>
      </c>
      <c r="D67" s="12" t="str">
        <f t="shared" si="0"/>
        <v>South</v>
      </c>
      <c r="E67" s="12" t="s">
        <v>28</v>
      </c>
      <c r="F67" s="12" t="s">
        <v>29</v>
      </c>
      <c r="G67" s="12" t="s">
        <v>20</v>
      </c>
      <c r="H67" s="12">
        <v>61107</v>
      </c>
      <c r="I67" s="12">
        <v>27563</v>
      </c>
      <c r="J67" s="12" t="s">
        <v>30</v>
      </c>
      <c r="K67" s="12" t="s">
        <v>31</v>
      </c>
      <c r="L67" s="12" t="s">
        <v>44</v>
      </c>
      <c r="M67" s="12">
        <v>14</v>
      </c>
      <c r="N67" s="12">
        <v>16961</v>
      </c>
      <c r="O67" s="12" t="s">
        <v>24</v>
      </c>
      <c r="P67" s="12" t="s">
        <v>33</v>
      </c>
      <c r="Q67" t="str">
        <f t="shared" si="1"/>
        <v>Achived</v>
      </c>
      <c r="R67" t="str">
        <f t="shared" si="2"/>
        <v>High</v>
      </c>
    </row>
    <row r="68" spans="1:18">
      <c r="A68" s="12" t="s">
        <v>155</v>
      </c>
      <c r="B68" s="12" t="s">
        <v>81</v>
      </c>
      <c r="C68" s="12" t="s">
        <v>17</v>
      </c>
      <c r="D68" s="12" t="str">
        <f t="shared" ref="D68:D102" si="3">PROPER(TRIM(C68))</f>
        <v>South</v>
      </c>
      <c r="E68" s="12" t="s">
        <v>37</v>
      </c>
      <c r="F68" s="12" t="s">
        <v>19</v>
      </c>
      <c r="G68" s="12" t="s">
        <v>38</v>
      </c>
      <c r="H68" s="12">
        <v>39030</v>
      </c>
      <c r="I68" s="12">
        <v>21658</v>
      </c>
      <c r="J68" s="12" t="s">
        <v>30</v>
      </c>
      <c r="K68" s="12" t="s">
        <v>31</v>
      </c>
      <c r="L68" s="12" t="s">
        <v>44</v>
      </c>
      <c r="M68" s="12">
        <v>24</v>
      </c>
      <c r="N68" s="12">
        <v>4530</v>
      </c>
      <c r="O68" s="12" t="s">
        <v>39</v>
      </c>
      <c r="P68" s="12" t="s">
        <v>33</v>
      </c>
      <c r="Q68" t="str">
        <f t="shared" ref="Q68:Q102" si="4">IF(H68&gt;I68,"Achived","Not Achieved")</f>
        <v>Achived</v>
      </c>
      <c r="R68" t="str">
        <f t="shared" ref="R68:R102" si="5">IF(H68&gt;50000,"High","Normal")</f>
        <v>Normal</v>
      </c>
    </row>
    <row r="69" spans="1:18">
      <c r="A69" s="12" t="s">
        <v>156</v>
      </c>
      <c r="B69" s="12" t="s">
        <v>157</v>
      </c>
      <c r="C69" s="12" t="s">
        <v>47</v>
      </c>
      <c r="D69" s="12" t="str">
        <f t="shared" si="3"/>
        <v>South</v>
      </c>
      <c r="E69" s="12" t="s">
        <v>57</v>
      </c>
      <c r="F69" s="12" t="s">
        <v>19</v>
      </c>
      <c r="G69" s="12" t="s">
        <v>42</v>
      </c>
      <c r="H69" s="12">
        <v>56878</v>
      </c>
      <c r="I69" s="12">
        <v>25103</v>
      </c>
      <c r="J69" s="12" t="s">
        <v>21</v>
      </c>
      <c r="K69" s="12" t="s">
        <v>31</v>
      </c>
      <c r="L69" s="12" t="s">
        <v>52</v>
      </c>
      <c r="M69" s="12">
        <v>18</v>
      </c>
      <c r="N69" s="12">
        <v>15227</v>
      </c>
      <c r="O69" s="12" t="s">
        <v>24</v>
      </c>
      <c r="P69" s="12" t="s">
        <v>33</v>
      </c>
      <c r="Q69" t="str">
        <f t="shared" si="4"/>
        <v>Achived</v>
      </c>
      <c r="R69" t="str">
        <f t="shared" si="5"/>
        <v>High</v>
      </c>
    </row>
    <row r="70" spans="1:18">
      <c r="A70" s="12" t="s">
        <v>158</v>
      </c>
      <c r="B70" s="12" t="s">
        <v>159</v>
      </c>
      <c r="C70" s="12" t="s">
        <v>60</v>
      </c>
      <c r="D70" s="12" t="str">
        <f t="shared" si="3"/>
        <v>South</v>
      </c>
      <c r="E70" s="12" t="s">
        <v>65</v>
      </c>
      <c r="F70" s="12" t="s">
        <v>19</v>
      </c>
      <c r="G70" s="12" t="s">
        <v>48</v>
      </c>
      <c r="H70" s="12">
        <v>23236</v>
      </c>
      <c r="I70" s="12">
        <v>39566</v>
      </c>
      <c r="J70" s="12" t="s">
        <v>30</v>
      </c>
      <c r="K70" s="12" t="s">
        <v>31</v>
      </c>
      <c r="L70" s="12" t="s">
        <v>44</v>
      </c>
      <c r="M70" s="12">
        <v>7</v>
      </c>
      <c r="N70" s="12">
        <v>10315</v>
      </c>
      <c r="O70" s="12" t="s">
        <v>24</v>
      </c>
      <c r="P70" s="12" t="s">
        <v>33</v>
      </c>
      <c r="Q70" t="str">
        <f t="shared" si="4"/>
        <v>Not Achieved</v>
      </c>
      <c r="R70" t="str">
        <f t="shared" si="5"/>
        <v>Normal</v>
      </c>
    </row>
    <row r="71" spans="1:18">
      <c r="A71" s="12" t="s">
        <v>160</v>
      </c>
      <c r="B71" s="12" t="s">
        <v>161</v>
      </c>
      <c r="C71" s="12" t="s">
        <v>36</v>
      </c>
      <c r="D71" s="12" t="str">
        <f t="shared" si="3"/>
        <v>North</v>
      </c>
      <c r="E71" s="12" t="s">
        <v>18</v>
      </c>
      <c r="F71" s="12" t="s">
        <v>19</v>
      </c>
      <c r="G71" s="12" t="s">
        <v>38</v>
      </c>
      <c r="H71" s="12">
        <v>39136</v>
      </c>
      <c r="I71" s="12">
        <v>19859</v>
      </c>
      <c r="J71" s="12" t="s">
        <v>30</v>
      </c>
      <c r="K71" s="12" t="s">
        <v>43</v>
      </c>
      <c r="L71" s="12" t="s">
        <v>52</v>
      </c>
      <c r="M71" s="12">
        <v>24</v>
      </c>
      <c r="N71" s="12">
        <v>10628</v>
      </c>
      <c r="O71" s="12" t="s">
        <v>39</v>
      </c>
      <c r="P71" s="12" t="s">
        <v>33</v>
      </c>
      <c r="Q71" t="str">
        <f t="shared" si="4"/>
        <v>Achived</v>
      </c>
      <c r="R71" t="str">
        <f t="shared" si="5"/>
        <v>Normal</v>
      </c>
    </row>
    <row r="72" spans="1:18">
      <c r="A72" s="12" t="s">
        <v>162</v>
      </c>
      <c r="B72" s="12" t="s">
        <v>163</v>
      </c>
      <c r="C72" s="12" t="s">
        <v>47</v>
      </c>
      <c r="D72" s="12" t="str">
        <f t="shared" si="3"/>
        <v>South</v>
      </c>
      <c r="E72" s="12" t="s">
        <v>37</v>
      </c>
      <c r="F72" s="12" t="s">
        <v>19</v>
      </c>
      <c r="G72" s="12" t="s">
        <v>38</v>
      </c>
      <c r="H72" s="12">
        <v>11817</v>
      </c>
      <c r="I72" s="12">
        <v>34597</v>
      </c>
      <c r="J72" s="12" t="s">
        <v>30</v>
      </c>
      <c r="K72" s="12" t="s">
        <v>43</v>
      </c>
      <c r="L72" s="12" t="s">
        <v>32</v>
      </c>
      <c r="M72" s="12">
        <v>22</v>
      </c>
      <c r="N72" s="12">
        <v>1843</v>
      </c>
      <c r="O72" s="12" t="s">
        <v>24</v>
      </c>
      <c r="P72" s="12" t="s">
        <v>33</v>
      </c>
      <c r="Q72" t="str">
        <f t="shared" si="4"/>
        <v>Not Achieved</v>
      </c>
      <c r="R72" t="str">
        <f t="shared" si="5"/>
        <v>Normal</v>
      </c>
    </row>
    <row r="73" spans="1:18">
      <c r="A73" s="12" t="s">
        <v>164</v>
      </c>
      <c r="B73" s="12" t="s">
        <v>165</v>
      </c>
      <c r="C73" s="12" t="s">
        <v>27</v>
      </c>
      <c r="D73" s="12" t="str">
        <f t="shared" si="3"/>
        <v>West</v>
      </c>
      <c r="E73" s="12" t="s">
        <v>57</v>
      </c>
      <c r="F73" s="12" t="s">
        <v>29</v>
      </c>
      <c r="G73" s="12" t="s">
        <v>20</v>
      </c>
      <c r="H73" s="12">
        <v>11639</v>
      </c>
      <c r="I73" s="12">
        <v>35474</v>
      </c>
      <c r="J73" s="12" t="s">
        <v>21</v>
      </c>
      <c r="K73" s="12" t="s">
        <v>43</v>
      </c>
      <c r="L73" s="12" t="s">
        <v>52</v>
      </c>
      <c r="M73" s="12">
        <v>5</v>
      </c>
      <c r="N73" s="12">
        <v>10241</v>
      </c>
      <c r="O73" s="12" t="s">
        <v>24</v>
      </c>
      <c r="P73" s="12" t="s">
        <v>33</v>
      </c>
      <c r="Q73" t="str">
        <f t="shared" si="4"/>
        <v>Not Achieved</v>
      </c>
      <c r="R73" t="str">
        <f t="shared" si="5"/>
        <v>Normal</v>
      </c>
    </row>
    <row r="74" spans="1:18">
      <c r="A74" s="12" t="s">
        <v>166</v>
      </c>
      <c r="B74" s="12" t="s">
        <v>167</v>
      </c>
      <c r="C74" s="12" t="s">
        <v>27</v>
      </c>
      <c r="D74" s="12" t="str">
        <f t="shared" si="3"/>
        <v>West</v>
      </c>
      <c r="E74" s="12" t="s">
        <v>57</v>
      </c>
      <c r="F74" s="12" t="s">
        <v>19</v>
      </c>
      <c r="G74" s="12" t="s">
        <v>38</v>
      </c>
      <c r="H74" s="12">
        <v>296</v>
      </c>
      <c r="I74" s="12">
        <v>51456</v>
      </c>
      <c r="J74" s="12" t="s">
        <v>30</v>
      </c>
      <c r="K74" s="12" t="s">
        <v>43</v>
      </c>
      <c r="L74" s="12" t="s">
        <v>44</v>
      </c>
      <c r="M74" s="12">
        <v>4</v>
      </c>
      <c r="N74" s="12">
        <v>39</v>
      </c>
      <c r="O74" s="12" t="s">
        <v>39</v>
      </c>
      <c r="P74" s="12" t="s">
        <v>33</v>
      </c>
      <c r="Q74" t="str">
        <f t="shared" si="4"/>
        <v>Not Achieved</v>
      </c>
      <c r="R74" t="str">
        <f t="shared" si="5"/>
        <v>Normal</v>
      </c>
    </row>
    <row r="75" spans="1:18">
      <c r="A75" s="12" t="s">
        <v>168</v>
      </c>
      <c r="B75" s="12" t="s">
        <v>54</v>
      </c>
      <c r="C75" s="12" t="s">
        <v>17</v>
      </c>
      <c r="D75" s="12" t="str">
        <f t="shared" si="3"/>
        <v>South</v>
      </c>
      <c r="E75" s="12" t="s">
        <v>57</v>
      </c>
      <c r="F75" s="12" t="s">
        <v>19</v>
      </c>
      <c r="G75" s="12" t="s">
        <v>20</v>
      </c>
      <c r="H75" s="12">
        <v>48915</v>
      </c>
      <c r="I75" s="12">
        <v>33243</v>
      </c>
      <c r="J75" s="12" t="s">
        <v>30</v>
      </c>
      <c r="K75" s="12" t="s">
        <v>43</v>
      </c>
      <c r="L75" s="12" t="s">
        <v>23</v>
      </c>
      <c r="M75" s="12">
        <v>22</v>
      </c>
      <c r="N75" s="12">
        <v>5162</v>
      </c>
      <c r="O75" s="12" t="s">
        <v>24</v>
      </c>
      <c r="P75" s="12" t="s">
        <v>33</v>
      </c>
      <c r="Q75" t="str">
        <f t="shared" si="4"/>
        <v>Achived</v>
      </c>
      <c r="R75" t="str">
        <f t="shared" si="5"/>
        <v>Normal</v>
      </c>
    </row>
    <row r="76" spans="1:18">
      <c r="A76" s="12" t="s">
        <v>169</v>
      </c>
      <c r="B76" s="12" t="s">
        <v>170</v>
      </c>
      <c r="C76" s="12" t="s">
        <v>17</v>
      </c>
      <c r="D76" s="12" t="str">
        <f t="shared" si="3"/>
        <v>South</v>
      </c>
      <c r="E76" s="12" t="s">
        <v>57</v>
      </c>
      <c r="F76" s="12" t="s">
        <v>19</v>
      </c>
      <c r="G76" s="12" t="s">
        <v>42</v>
      </c>
      <c r="H76" s="12">
        <v>15740</v>
      </c>
      <c r="I76" s="12">
        <v>24862</v>
      </c>
      <c r="J76" s="12" t="s">
        <v>21</v>
      </c>
      <c r="K76" s="12" t="s">
        <v>31</v>
      </c>
      <c r="L76" s="12" t="s">
        <v>23</v>
      </c>
      <c r="M76" s="12">
        <v>10</v>
      </c>
      <c r="N76" s="12">
        <v>15718</v>
      </c>
      <c r="O76" s="12" t="s">
        <v>39</v>
      </c>
      <c r="P76" s="12" t="s">
        <v>33</v>
      </c>
      <c r="Q76" t="str">
        <f t="shared" si="4"/>
        <v>Not Achieved</v>
      </c>
      <c r="R76" t="str">
        <f t="shared" si="5"/>
        <v>Normal</v>
      </c>
    </row>
    <row r="77" spans="1:18">
      <c r="A77" s="12" t="s">
        <v>171</v>
      </c>
      <c r="B77" s="12" t="s">
        <v>71</v>
      </c>
      <c r="C77" s="12" t="s">
        <v>51</v>
      </c>
      <c r="D77" s="12" t="str">
        <f t="shared" si="3"/>
        <v>East</v>
      </c>
      <c r="E77" s="12" t="s">
        <v>65</v>
      </c>
      <c r="F77" s="12" t="s">
        <v>29</v>
      </c>
      <c r="G77" s="12" t="s">
        <v>48</v>
      </c>
      <c r="H77" s="12">
        <v>45941</v>
      </c>
      <c r="I77" s="12">
        <v>39851</v>
      </c>
      <c r="J77" s="12" t="s">
        <v>21</v>
      </c>
      <c r="K77" s="12" t="s">
        <v>43</v>
      </c>
      <c r="L77" s="12" t="s">
        <v>44</v>
      </c>
      <c r="M77" s="12">
        <v>21</v>
      </c>
      <c r="N77" s="12">
        <v>3092</v>
      </c>
      <c r="O77" s="12" t="s">
        <v>24</v>
      </c>
      <c r="P77" s="12" t="s">
        <v>33</v>
      </c>
      <c r="Q77" t="str">
        <f t="shared" si="4"/>
        <v>Achived</v>
      </c>
      <c r="R77" t="str">
        <f t="shared" si="5"/>
        <v>Normal</v>
      </c>
    </row>
    <row r="78" spans="1:18">
      <c r="A78" s="12" t="s">
        <v>172</v>
      </c>
      <c r="B78" s="12" t="s">
        <v>26</v>
      </c>
      <c r="C78" s="12" t="s">
        <v>17</v>
      </c>
      <c r="D78" s="12" t="str">
        <f t="shared" si="3"/>
        <v>South</v>
      </c>
      <c r="E78" s="12" t="s">
        <v>28</v>
      </c>
      <c r="F78" s="12" t="s">
        <v>29</v>
      </c>
      <c r="G78" s="12" t="s">
        <v>20</v>
      </c>
      <c r="H78" s="12">
        <v>56548</v>
      </c>
      <c r="I78" s="12">
        <v>13173</v>
      </c>
      <c r="J78" s="12" t="s">
        <v>30</v>
      </c>
      <c r="K78" s="12" t="s">
        <v>31</v>
      </c>
      <c r="L78" s="12" t="s">
        <v>52</v>
      </c>
      <c r="M78" s="12">
        <v>8</v>
      </c>
      <c r="N78" s="12">
        <v>2802</v>
      </c>
      <c r="O78" s="12" t="s">
        <v>24</v>
      </c>
      <c r="P78" s="12" t="s">
        <v>33</v>
      </c>
      <c r="Q78" t="str">
        <f t="shared" si="4"/>
        <v>Achived</v>
      </c>
      <c r="R78" t="str">
        <f t="shared" si="5"/>
        <v>High</v>
      </c>
    </row>
    <row r="79" spans="1:18">
      <c r="A79" s="12" t="s">
        <v>173</v>
      </c>
      <c r="B79" s="12" t="s">
        <v>139</v>
      </c>
      <c r="C79" s="12" t="s">
        <v>47</v>
      </c>
      <c r="D79" s="12" t="str">
        <f t="shared" si="3"/>
        <v>South</v>
      </c>
      <c r="E79" s="12" t="s">
        <v>37</v>
      </c>
      <c r="F79" s="12" t="s">
        <v>19</v>
      </c>
      <c r="G79" s="12" t="s">
        <v>48</v>
      </c>
      <c r="H79" s="12">
        <v>555</v>
      </c>
      <c r="I79" s="12">
        <v>31401</v>
      </c>
      <c r="J79" s="12" t="s">
        <v>30</v>
      </c>
      <c r="K79" s="12" t="s">
        <v>31</v>
      </c>
      <c r="L79" s="12" t="s">
        <v>32</v>
      </c>
      <c r="M79" s="12">
        <v>10</v>
      </c>
      <c r="N79" s="12">
        <v>-1870</v>
      </c>
      <c r="O79" s="12" t="s">
        <v>24</v>
      </c>
      <c r="P79" s="12" t="s">
        <v>33</v>
      </c>
      <c r="Q79" t="str">
        <f t="shared" si="4"/>
        <v>Not Achieved</v>
      </c>
      <c r="R79" t="str">
        <f t="shared" si="5"/>
        <v>Normal</v>
      </c>
    </row>
    <row r="80" spans="1:18">
      <c r="A80" s="12" t="s">
        <v>174</v>
      </c>
      <c r="B80" s="12" t="s">
        <v>46</v>
      </c>
      <c r="C80" s="12" t="s">
        <v>60</v>
      </c>
      <c r="D80" s="12" t="str">
        <f t="shared" si="3"/>
        <v>South</v>
      </c>
      <c r="E80" s="12" t="s">
        <v>28</v>
      </c>
      <c r="F80" s="12" t="s">
        <v>19</v>
      </c>
      <c r="G80" s="12" t="s">
        <v>48</v>
      </c>
      <c r="H80" s="12">
        <v>23547</v>
      </c>
      <c r="I80" s="12">
        <v>56701</v>
      </c>
      <c r="J80" s="12" t="s">
        <v>30</v>
      </c>
      <c r="K80" s="12" t="s">
        <v>22</v>
      </c>
      <c r="L80" s="12" t="s">
        <v>44</v>
      </c>
      <c r="M80" s="12">
        <v>16</v>
      </c>
      <c r="N80" s="12">
        <v>19687</v>
      </c>
      <c r="O80" s="12" t="s">
        <v>39</v>
      </c>
      <c r="P80" s="12" t="s">
        <v>33</v>
      </c>
      <c r="Q80" t="str">
        <f t="shared" si="4"/>
        <v>Not Achieved</v>
      </c>
      <c r="R80" t="str">
        <f t="shared" si="5"/>
        <v>Normal</v>
      </c>
    </row>
    <row r="81" spans="1:18">
      <c r="A81" s="12" t="s">
        <v>175</v>
      </c>
      <c r="B81" s="12" t="s">
        <v>139</v>
      </c>
      <c r="C81" s="12" t="s">
        <v>36</v>
      </c>
      <c r="D81" s="12" t="str">
        <f t="shared" si="3"/>
        <v>North</v>
      </c>
      <c r="E81" s="12" t="s">
        <v>18</v>
      </c>
      <c r="F81" s="12" t="s">
        <v>19</v>
      </c>
      <c r="G81" s="12" t="s">
        <v>38</v>
      </c>
      <c r="H81" s="12">
        <v>13875</v>
      </c>
      <c r="I81" s="12">
        <v>30303</v>
      </c>
      <c r="J81" s="12" t="s">
        <v>21</v>
      </c>
      <c r="K81" s="12" t="s">
        <v>43</v>
      </c>
      <c r="L81" s="12" t="s">
        <v>52</v>
      </c>
      <c r="M81" s="12">
        <v>29</v>
      </c>
      <c r="N81" s="12">
        <v>17281</v>
      </c>
      <c r="O81" s="12" t="s">
        <v>24</v>
      </c>
      <c r="P81" s="12" t="s">
        <v>33</v>
      </c>
      <c r="Q81" t="str">
        <f t="shared" si="4"/>
        <v>Not Achieved</v>
      </c>
      <c r="R81" t="str">
        <f t="shared" si="5"/>
        <v>Normal</v>
      </c>
    </row>
    <row r="82" spans="1:18">
      <c r="A82" s="12" t="s">
        <v>176</v>
      </c>
      <c r="B82" s="12" t="s">
        <v>170</v>
      </c>
      <c r="C82" s="12" t="s">
        <v>17</v>
      </c>
      <c r="D82" s="12" t="str">
        <f t="shared" si="3"/>
        <v>South</v>
      </c>
      <c r="E82" s="12" t="s">
        <v>18</v>
      </c>
      <c r="F82" s="12" t="s">
        <v>29</v>
      </c>
      <c r="G82" s="12" t="s">
        <v>48</v>
      </c>
      <c r="H82" s="12">
        <v>61063</v>
      </c>
      <c r="I82" s="12">
        <v>58900</v>
      </c>
      <c r="J82" s="12" t="s">
        <v>21</v>
      </c>
      <c r="K82" s="12" t="s">
        <v>31</v>
      </c>
      <c r="L82" s="12" t="s">
        <v>52</v>
      </c>
      <c r="M82" s="12">
        <v>0</v>
      </c>
      <c r="N82" s="12">
        <v>10636</v>
      </c>
      <c r="O82" s="12" t="s">
        <v>39</v>
      </c>
      <c r="P82" s="12" t="s">
        <v>33</v>
      </c>
      <c r="Q82" t="str">
        <f t="shared" si="4"/>
        <v>Achived</v>
      </c>
      <c r="R82" t="str">
        <f t="shared" si="5"/>
        <v>High</v>
      </c>
    </row>
    <row r="83" spans="1:18">
      <c r="A83" s="12" t="s">
        <v>177</v>
      </c>
      <c r="B83" s="12" t="s">
        <v>178</v>
      </c>
      <c r="C83" s="12" t="s">
        <v>36</v>
      </c>
      <c r="D83" s="12" t="str">
        <f t="shared" si="3"/>
        <v>North</v>
      </c>
      <c r="E83" s="12" t="s">
        <v>37</v>
      </c>
      <c r="F83" s="12" t="s">
        <v>19</v>
      </c>
      <c r="G83" s="12" t="s">
        <v>20</v>
      </c>
      <c r="H83" s="12">
        <v>39853</v>
      </c>
      <c r="I83" s="12">
        <v>38266</v>
      </c>
      <c r="J83" s="12" t="s">
        <v>21</v>
      </c>
      <c r="K83" s="12" t="s">
        <v>22</v>
      </c>
      <c r="L83" s="12" t="s">
        <v>32</v>
      </c>
      <c r="M83" s="12">
        <v>19</v>
      </c>
      <c r="N83" s="12">
        <v>-1004</v>
      </c>
      <c r="O83" s="12" t="s">
        <v>39</v>
      </c>
      <c r="P83" s="12" t="s">
        <v>33</v>
      </c>
      <c r="Q83" t="str">
        <f t="shared" si="4"/>
        <v>Achived</v>
      </c>
      <c r="R83" t="str">
        <f t="shared" si="5"/>
        <v>Normal</v>
      </c>
    </row>
    <row r="84" spans="1:18">
      <c r="A84" s="12" t="s">
        <v>179</v>
      </c>
      <c r="B84" s="12" t="s">
        <v>180</v>
      </c>
      <c r="C84" s="12" t="s">
        <v>27</v>
      </c>
      <c r="D84" s="12" t="str">
        <f t="shared" si="3"/>
        <v>West</v>
      </c>
      <c r="E84" s="12" t="s">
        <v>18</v>
      </c>
      <c r="F84" s="12" t="s">
        <v>19</v>
      </c>
      <c r="G84" s="12" t="s">
        <v>38</v>
      </c>
      <c r="H84" s="12">
        <v>39665</v>
      </c>
      <c r="I84" s="12">
        <v>45011</v>
      </c>
      <c r="J84" s="12" t="s">
        <v>21</v>
      </c>
      <c r="K84" s="12" t="s">
        <v>31</v>
      </c>
      <c r="L84" s="12" t="s">
        <v>44</v>
      </c>
      <c r="M84" s="12">
        <v>29</v>
      </c>
      <c r="N84" s="12">
        <v>17800</v>
      </c>
      <c r="O84" s="12" t="s">
        <v>39</v>
      </c>
      <c r="P84" s="12" t="s">
        <v>33</v>
      </c>
      <c r="Q84" t="str">
        <f t="shared" si="4"/>
        <v>Not Achieved</v>
      </c>
      <c r="R84" t="str">
        <f t="shared" si="5"/>
        <v>Normal</v>
      </c>
    </row>
    <row r="85" spans="1:18">
      <c r="A85" s="12" t="s">
        <v>181</v>
      </c>
      <c r="B85" s="12" t="s">
        <v>182</v>
      </c>
      <c r="C85" s="12" t="s">
        <v>36</v>
      </c>
      <c r="D85" s="12" t="str">
        <f t="shared" si="3"/>
        <v>North</v>
      </c>
      <c r="E85" s="12" t="s">
        <v>37</v>
      </c>
      <c r="F85" s="12" t="s">
        <v>29</v>
      </c>
      <c r="G85" s="12" t="s">
        <v>48</v>
      </c>
      <c r="H85" s="12">
        <v>27815</v>
      </c>
      <c r="I85" s="12">
        <v>53489</v>
      </c>
      <c r="J85" s="12" t="s">
        <v>30</v>
      </c>
      <c r="K85" s="12" t="s">
        <v>22</v>
      </c>
      <c r="L85" s="12" t="s">
        <v>32</v>
      </c>
      <c r="M85" s="12">
        <v>19</v>
      </c>
      <c r="N85" s="12">
        <v>19088</v>
      </c>
      <c r="O85" s="12" t="s">
        <v>24</v>
      </c>
      <c r="P85" s="12" t="s">
        <v>33</v>
      </c>
      <c r="Q85" t="str">
        <f t="shared" si="4"/>
        <v>Not Achieved</v>
      </c>
      <c r="R85" t="str">
        <f t="shared" si="5"/>
        <v>Normal</v>
      </c>
    </row>
    <row r="86" spans="1:18">
      <c r="A86" s="12" t="s">
        <v>183</v>
      </c>
      <c r="B86" s="12" t="s">
        <v>122</v>
      </c>
      <c r="C86" s="12" t="s">
        <v>17</v>
      </c>
      <c r="D86" s="12" t="str">
        <f t="shared" si="3"/>
        <v>South</v>
      </c>
      <c r="E86" s="12" t="s">
        <v>65</v>
      </c>
      <c r="F86" s="12" t="s">
        <v>19</v>
      </c>
      <c r="G86" s="12" t="s">
        <v>42</v>
      </c>
      <c r="H86" s="12">
        <v>48441</v>
      </c>
      <c r="I86" s="12">
        <v>35921</v>
      </c>
      <c r="J86" s="12" t="s">
        <v>21</v>
      </c>
      <c r="K86" s="12" t="s">
        <v>31</v>
      </c>
      <c r="L86" s="12" t="s">
        <v>32</v>
      </c>
      <c r="M86" s="12">
        <v>27</v>
      </c>
      <c r="N86" s="12">
        <v>1705</v>
      </c>
      <c r="O86" s="12" t="s">
        <v>24</v>
      </c>
      <c r="P86" s="12" t="s">
        <v>33</v>
      </c>
      <c r="Q86" t="str">
        <f t="shared" si="4"/>
        <v>Achived</v>
      </c>
      <c r="R86" t="str">
        <f t="shared" si="5"/>
        <v>Normal</v>
      </c>
    </row>
    <row r="87" spans="1:18">
      <c r="A87" s="12" t="s">
        <v>184</v>
      </c>
      <c r="B87" s="12" t="s">
        <v>185</v>
      </c>
      <c r="C87" s="12" t="s">
        <v>47</v>
      </c>
      <c r="D87" s="12" t="str">
        <f t="shared" si="3"/>
        <v>South</v>
      </c>
      <c r="E87" s="12" t="s">
        <v>28</v>
      </c>
      <c r="F87" s="12" t="s">
        <v>29</v>
      </c>
      <c r="G87" s="12" t="s">
        <v>48</v>
      </c>
      <c r="H87" s="12">
        <v>43130</v>
      </c>
      <c r="I87" s="12">
        <v>35309</v>
      </c>
      <c r="J87" s="12" t="s">
        <v>21</v>
      </c>
      <c r="K87" s="12" t="s">
        <v>22</v>
      </c>
      <c r="L87" s="12" t="s">
        <v>23</v>
      </c>
      <c r="M87" s="12">
        <v>17</v>
      </c>
      <c r="N87" s="12">
        <v>5909</v>
      </c>
      <c r="O87" s="12" t="s">
        <v>39</v>
      </c>
      <c r="P87" s="12" t="s">
        <v>33</v>
      </c>
      <c r="Q87" t="str">
        <f t="shared" si="4"/>
        <v>Achived</v>
      </c>
      <c r="R87" t="str">
        <f t="shared" si="5"/>
        <v>Normal</v>
      </c>
    </row>
    <row r="88" spans="1:18">
      <c r="A88" s="12" t="s">
        <v>186</v>
      </c>
      <c r="B88" s="12" t="s">
        <v>115</v>
      </c>
      <c r="C88" s="12" t="s">
        <v>60</v>
      </c>
      <c r="D88" s="12" t="str">
        <f t="shared" si="3"/>
        <v>South</v>
      </c>
      <c r="E88" s="12" t="s">
        <v>57</v>
      </c>
      <c r="F88" s="12" t="s">
        <v>19</v>
      </c>
      <c r="G88" s="12" t="s">
        <v>42</v>
      </c>
      <c r="H88" s="12">
        <v>67257</v>
      </c>
      <c r="I88" s="12">
        <v>26949</v>
      </c>
      <c r="J88" s="12" t="s">
        <v>21</v>
      </c>
      <c r="K88" s="12" t="s">
        <v>22</v>
      </c>
      <c r="L88" s="12" t="s">
        <v>23</v>
      </c>
      <c r="M88" s="12">
        <v>20</v>
      </c>
      <c r="N88" s="12">
        <v>1078</v>
      </c>
      <c r="O88" s="12" t="s">
        <v>24</v>
      </c>
      <c r="P88" s="12" t="s">
        <v>33</v>
      </c>
      <c r="Q88" t="str">
        <f t="shared" si="4"/>
        <v>Achived</v>
      </c>
      <c r="R88" t="str">
        <f t="shared" si="5"/>
        <v>High</v>
      </c>
    </row>
    <row r="89" spans="1:18">
      <c r="A89" s="12" t="s">
        <v>187</v>
      </c>
      <c r="B89" s="12" t="s">
        <v>93</v>
      </c>
      <c r="C89" s="12" t="s">
        <v>27</v>
      </c>
      <c r="D89" s="12" t="str">
        <f t="shared" si="3"/>
        <v>West</v>
      </c>
      <c r="E89" s="12" t="s">
        <v>37</v>
      </c>
      <c r="F89" s="12" t="s">
        <v>29</v>
      </c>
      <c r="G89" s="12" t="s">
        <v>48</v>
      </c>
      <c r="H89" s="12">
        <v>55871</v>
      </c>
      <c r="I89" s="12">
        <v>19547</v>
      </c>
      <c r="J89" s="12" t="s">
        <v>30</v>
      </c>
      <c r="K89" s="12" t="s">
        <v>22</v>
      </c>
      <c r="L89" s="12" t="s">
        <v>44</v>
      </c>
      <c r="M89" s="12">
        <v>6</v>
      </c>
      <c r="N89" s="12">
        <v>17314</v>
      </c>
      <c r="O89" s="12" t="s">
        <v>24</v>
      </c>
      <c r="P89" s="12" t="s">
        <v>33</v>
      </c>
      <c r="Q89" t="str">
        <f t="shared" si="4"/>
        <v>Achived</v>
      </c>
      <c r="R89" t="str">
        <f t="shared" si="5"/>
        <v>High</v>
      </c>
    </row>
    <row r="90" spans="1:18">
      <c r="A90" s="12" t="s">
        <v>188</v>
      </c>
      <c r="B90" s="12" t="s">
        <v>85</v>
      </c>
      <c r="C90" s="12" t="s">
        <v>36</v>
      </c>
      <c r="D90" s="12" t="str">
        <f t="shared" si="3"/>
        <v>North</v>
      </c>
      <c r="E90" s="12" t="s">
        <v>57</v>
      </c>
      <c r="F90" s="12" t="s">
        <v>19</v>
      </c>
      <c r="G90" s="12" t="s">
        <v>48</v>
      </c>
      <c r="H90" s="12">
        <v>65324</v>
      </c>
      <c r="I90" s="12">
        <v>39586</v>
      </c>
      <c r="J90" s="12" t="s">
        <v>21</v>
      </c>
      <c r="K90" s="12" t="s">
        <v>22</v>
      </c>
      <c r="L90" s="12" t="s">
        <v>32</v>
      </c>
      <c r="M90" s="12">
        <v>13</v>
      </c>
      <c r="N90" s="12">
        <v>3</v>
      </c>
      <c r="O90" s="12" t="s">
        <v>24</v>
      </c>
      <c r="P90" s="12"/>
      <c r="Q90" t="str">
        <f t="shared" si="4"/>
        <v>Achived</v>
      </c>
      <c r="R90" t="str">
        <f t="shared" si="5"/>
        <v>High</v>
      </c>
    </row>
    <row r="91" spans="1:18">
      <c r="A91" s="12" t="s">
        <v>189</v>
      </c>
      <c r="B91" s="12" t="s">
        <v>97</v>
      </c>
      <c r="C91" s="12" t="s">
        <v>17</v>
      </c>
      <c r="D91" s="12" t="str">
        <f t="shared" si="3"/>
        <v>South</v>
      </c>
      <c r="E91" s="12" t="s">
        <v>65</v>
      </c>
      <c r="F91" s="12" t="s">
        <v>19</v>
      </c>
      <c r="G91" s="12" t="s">
        <v>20</v>
      </c>
      <c r="H91" s="12">
        <v>5460</v>
      </c>
      <c r="I91" s="12">
        <v>37882</v>
      </c>
      <c r="J91" s="12" t="s">
        <v>30</v>
      </c>
      <c r="K91" s="12" t="s">
        <v>43</v>
      </c>
      <c r="L91" s="12" t="s">
        <v>32</v>
      </c>
      <c r="M91" s="12">
        <v>3</v>
      </c>
      <c r="N91" s="12">
        <v>13534</v>
      </c>
      <c r="O91" s="12" t="s">
        <v>24</v>
      </c>
      <c r="P91" s="12" t="s">
        <v>33</v>
      </c>
      <c r="Q91" t="str">
        <f t="shared" si="4"/>
        <v>Not Achieved</v>
      </c>
      <c r="R91" t="str">
        <f t="shared" si="5"/>
        <v>Normal</v>
      </c>
    </row>
    <row r="92" spans="1:18">
      <c r="A92" s="12" t="s">
        <v>190</v>
      </c>
      <c r="B92" s="12" t="s">
        <v>191</v>
      </c>
      <c r="C92" s="12" t="s">
        <v>60</v>
      </c>
      <c r="D92" s="12" t="str">
        <f t="shared" si="3"/>
        <v>South</v>
      </c>
      <c r="E92" s="12" t="s">
        <v>28</v>
      </c>
      <c r="F92" s="12" t="s">
        <v>19</v>
      </c>
      <c r="G92" s="12" t="s">
        <v>48</v>
      </c>
      <c r="H92" s="12">
        <v>59140</v>
      </c>
      <c r="I92" s="12">
        <v>37844</v>
      </c>
      <c r="J92" s="12" t="s">
        <v>30</v>
      </c>
      <c r="K92" s="12" t="s">
        <v>31</v>
      </c>
      <c r="L92" s="12" t="s">
        <v>44</v>
      </c>
      <c r="M92" s="12">
        <v>27</v>
      </c>
      <c r="N92" s="12">
        <v>16478</v>
      </c>
      <c r="O92" s="12" t="s">
        <v>24</v>
      </c>
      <c r="P92" s="12" t="s">
        <v>33</v>
      </c>
      <c r="Q92" t="str">
        <f t="shared" si="4"/>
        <v>Achived</v>
      </c>
      <c r="R92" t="str">
        <f t="shared" si="5"/>
        <v>High</v>
      </c>
    </row>
    <row r="93" spans="1:18">
      <c r="A93" s="12" t="s">
        <v>192</v>
      </c>
      <c r="B93" s="12" t="s">
        <v>193</v>
      </c>
      <c r="C93" s="12" t="s">
        <v>27</v>
      </c>
      <c r="D93" s="12" t="str">
        <f t="shared" si="3"/>
        <v>West</v>
      </c>
      <c r="E93" s="12" t="s">
        <v>37</v>
      </c>
      <c r="F93" s="12" t="s">
        <v>19</v>
      </c>
      <c r="G93" s="12" t="s">
        <v>20</v>
      </c>
      <c r="H93" s="12">
        <v>36185</v>
      </c>
      <c r="I93" s="12">
        <v>30235</v>
      </c>
      <c r="J93" s="12" t="s">
        <v>21</v>
      </c>
      <c r="K93" s="12" t="s">
        <v>22</v>
      </c>
      <c r="L93" s="12" t="s">
        <v>44</v>
      </c>
      <c r="M93" s="12">
        <v>16</v>
      </c>
      <c r="N93" s="12">
        <v>5634</v>
      </c>
      <c r="O93" s="12" t="s">
        <v>24</v>
      </c>
      <c r="P93" s="12"/>
      <c r="Q93" t="str">
        <f t="shared" si="4"/>
        <v>Achived</v>
      </c>
      <c r="R93" t="str">
        <f t="shared" si="5"/>
        <v>Normal</v>
      </c>
    </row>
    <row r="94" spans="1:18">
      <c r="A94" s="12" t="s">
        <v>194</v>
      </c>
      <c r="B94" s="12" t="s">
        <v>195</v>
      </c>
      <c r="C94" s="12" t="s">
        <v>60</v>
      </c>
      <c r="D94" s="12" t="str">
        <f t="shared" si="3"/>
        <v>South</v>
      </c>
      <c r="E94" s="12" t="s">
        <v>57</v>
      </c>
      <c r="F94" s="12" t="s">
        <v>19</v>
      </c>
      <c r="G94" s="12" t="s">
        <v>42</v>
      </c>
      <c r="H94" s="12">
        <v>4399</v>
      </c>
      <c r="I94" s="12">
        <v>23297</v>
      </c>
      <c r="J94" s="12" t="s">
        <v>30</v>
      </c>
      <c r="K94" s="12" t="s">
        <v>22</v>
      </c>
      <c r="L94" s="12" t="s">
        <v>44</v>
      </c>
      <c r="M94" s="12">
        <v>0</v>
      </c>
      <c r="N94" s="12">
        <v>11060</v>
      </c>
      <c r="O94" s="12" t="s">
        <v>24</v>
      </c>
      <c r="P94" s="12" t="s">
        <v>33</v>
      </c>
      <c r="Q94" t="str">
        <f t="shared" si="4"/>
        <v>Not Achieved</v>
      </c>
      <c r="R94" t="str">
        <f t="shared" si="5"/>
        <v>Normal</v>
      </c>
    </row>
    <row r="95" spans="1:18">
      <c r="A95" s="12" t="s">
        <v>196</v>
      </c>
      <c r="B95" s="12" t="s">
        <v>97</v>
      </c>
      <c r="C95" s="12" t="s">
        <v>60</v>
      </c>
      <c r="D95" s="12" t="str">
        <f t="shared" si="3"/>
        <v>South</v>
      </c>
      <c r="E95" s="12" t="s">
        <v>18</v>
      </c>
      <c r="F95" s="12" t="s">
        <v>29</v>
      </c>
      <c r="G95" s="12" t="s">
        <v>38</v>
      </c>
      <c r="H95" s="12">
        <v>23358</v>
      </c>
      <c r="I95" s="12">
        <v>29364</v>
      </c>
      <c r="J95" s="12" t="s">
        <v>30</v>
      </c>
      <c r="K95" s="12" t="s">
        <v>31</v>
      </c>
      <c r="L95" s="12" t="s">
        <v>44</v>
      </c>
      <c r="M95" s="12">
        <v>3</v>
      </c>
      <c r="N95" s="12">
        <v>8390</v>
      </c>
      <c r="O95" s="12" t="s">
        <v>24</v>
      </c>
      <c r="P95" s="12" t="s">
        <v>33</v>
      </c>
      <c r="Q95" t="str">
        <f t="shared" si="4"/>
        <v>Not Achieved</v>
      </c>
      <c r="R95" t="str">
        <f t="shared" si="5"/>
        <v>Normal</v>
      </c>
    </row>
    <row r="96" spans="1:18">
      <c r="A96" s="12" t="s">
        <v>197</v>
      </c>
      <c r="B96" s="12" t="s">
        <v>198</v>
      </c>
      <c r="C96" s="12" t="s">
        <v>60</v>
      </c>
      <c r="D96" s="12" t="str">
        <f t="shared" si="3"/>
        <v>South</v>
      </c>
      <c r="E96" s="12" t="s">
        <v>18</v>
      </c>
      <c r="F96" s="12" t="s">
        <v>19</v>
      </c>
      <c r="G96" s="12" t="s">
        <v>48</v>
      </c>
      <c r="H96" s="12">
        <v>54838</v>
      </c>
      <c r="I96" s="12">
        <v>52084</v>
      </c>
      <c r="J96" s="12" t="s">
        <v>30</v>
      </c>
      <c r="K96" s="12" t="s">
        <v>22</v>
      </c>
      <c r="L96" s="12" t="s">
        <v>23</v>
      </c>
      <c r="M96" s="12">
        <v>25</v>
      </c>
      <c r="N96" s="12">
        <v>5855</v>
      </c>
      <c r="O96" s="12" t="s">
        <v>39</v>
      </c>
      <c r="P96" s="12" t="s">
        <v>33</v>
      </c>
      <c r="Q96" t="str">
        <f t="shared" si="4"/>
        <v>Achived</v>
      </c>
      <c r="R96" t="str">
        <f t="shared" si="5"/>
        <v>High</v>
      </c>
    </row>
    <row r="97" spans="1:18">
      <c r="A97" s="12" t="s">
        <v>199</v>
      </c>
      <c r="B97" s="12" t="s">
        <v>200</v>
      </c>
      <c r="C97" s="12" t="s">
        <v>36</v>
      </c>
      <c r="D97" s="12" t="str">
        <f t="shared" si="3"/>
        <v>North</v>
      </c>
      <c r="E97" s="12" t="s">
        <v>37</v>
      </c>
      <c r="F97" s="12" t="s">
        <v>29</v>
      </c>
      <c r="G97" s="12" t="s">
        <v>20</v>
      </c>
      <c r="H97" s="12">
        <v>53461</v>
      </c>
      <c r="I97" s="12">
        <v>18312</v>
      </c>
      <c r="J97" s="12" t="s">
        <v>30</v>
      </c>
      <c r="K97" s="12" t="s">
        <v>43</v>
      </c>
      <c r="L97" s="12" t="s">
        <v>23</v>
      </c>
      <c r="M97" s="12">
        <v>3</v>
      </c>
      <c r="N97" s="12">
        <v>2322</v>
      </c>
      <c r="O97" s="12" t="s">
        <v>39</v>
      </c>
      <c r="P97" s="12" t="s">
        <v>33</v>
      </c>
      <c r="Q97" t="str">
        <f t="shared" si="4"/>
        <v>Achived</v>
      </c>
      <c r="R97" t="str">
        <f t="shared" si="5"/>
        <v>High</v>
      </c>
    </row>
    <row r="98" spans="1:18">
      <c r="A98" s="12" t="s">
        <v>201</v>
      </c>
      <c r="B98" s="12" t="s">
        <v>202</v>
      </c>
      <c r="C98" s="12" t="s">
        <v>47</v>
      </c>
      <c r="D98" s="12" t="str">
        <f t="shared" si="3"/>
        <v>South</v>
      </c>
      <c r="E98" s="12" t="s">
        <v>65</v>
      </c>
      <c r="F98" s="12" t="s">
        <v>29</v>
      </c>
      <c r="G98" s="12" t="s">
        <v>38</v>
      </c>
      <c r="H98" s="12">
        <v>42581</v>
      </c>
      <c r="I98" s="12">
        <v>37737</v>
      </c>
      <c r="J98" s="12" t="s">
        <v>30</v>
      </c>
      <c r="K98" s="12" t="s">
        <v>43</v>
      </c>
      <c r="L98" s="12" t="s">
        <v>52</v>
      </c>
      <c r="M98" s="12">
        <v>28</v>
      </c>
      <c r="N98" s="12">
        <v>4939</v>
      </c>
      <c r="O98" s="12" t="s">
        <v>24</v>
      </c>
      <c r="P98" s="12" t="s">
        <v>33</v>
      </c>
      <c r="Q98" t="str">
        <f t="shared" si="4"/>
        <v>Achived</v>
      </c>
      <c r="R98" t="str">
        <f t="shared" si="5"/>
        <v>Normal</v>
      </c>
    </row>
    <row r="99" spans="1:18">
      <c r="A99" s="12" t="s">
        <v>203</v>
      </c>
      <c r="B99" s="12" t="s">
        <v>204</v>
      </c>
      <c r="C99" s="12" t="s">
        <v>36</v>
      </c>
      <c r="D99" s="12" t="str">
        <f t="shared" si="3"/>
        <v>North</v>
      </c>
      <c r="E99" s="12" t="s">
        <v>18</v>
      </c>
      <c r="F99" s="12" t="s">
        <v>29</v>
      </c>
      <c r="G99" s="12" t="s">
        <v>42</v>
      </c>
      <c r="H99" s="12">
        <v>43601</v>
      </c>
      <c r="I99" s="12">
        <v>22897</v>
      </c>
      <c r="J99" s="12" t="s">
        <v>30</v>
      </c>
      <c r="K99" s="12" t="s">
        <v>31</v>
      </c>
      <c r="L99" s="12" t="s">
        <v>23</v>
      </c>
      <c r="M99" s="12">
        <v>19</v>
      </c>
      <c r="N99" s="12">
        <v>17302</v>
      </c>
      <c r="O99" s="12" t="s">
        <v>24</v>
      </c>
      <c r="P99" s="12" t="s">
        <v>33</v>
      </c>
      <c r="Q99" t="str">
        <f t="shared" si="4"/>
        <v>Achived</v>
      </c>
      <c r="R99" t="str">
        <f t="shared" si="5"/>
        <v>Normal</v>
      </c>
    </row>
    <row r="100" spans="1:18">
      <c r="A100" s="12" t="s">
        <v>205</v>
      </c>
      <c r="B100" s="12" t="s">
        <v>206</v>
      </c>
      <c r="C100" s="12" t="s">
        <v>36</v>
      </c>
      <c r="D100" s="12" t="str">
        <f t="shared" si="3"/>
        <v>North</v>
      </c>
      <c r="E100" s="12" t="s">
        <v>65</v>
      </c>
      <c r="F100" s="12" t="s">
        <v>19</v>
      </c>
      <c r="G100" s="12" t="s">
        <v>38</v>
      </c>
      <c r="H100" s="12">
        <v>1683</v>
      </c>
      <c r="I100" s="12">
        <v>18272</v>
      </c>
      <c r="J100" s="12" t="s">
        <v>30</v>
      </c>
      <c r="K100" s="12" t="s">
        <v>31</v>
      </c>
      <c r="L100" s="12" t="s">
        <v>52</v>
      </c>
      <c r="M100" s="12">
        <v>10</v>
      </c>
      <c r="N100" s="12">
        <v>13325</v>
      </c>
      <c r="O100" s="12" t="s">
        <v>39</v>
      </c>
      <c r="P100" s="12" t="s">
        <v>33</v>
      </c>
      <c r="Q100" t="str">
        <f t="shared" si="4"/>
        <v>Not Achieved</v>
      </c>
      <c r="R100" t="str">
        <f t="shared" si="5"/>
        <v>Normal</v>
      </c>
    </row>
    <row r="101" spans="1:18">
      <c r="A101" s="12" t="s">
        <v>207</v>
      </c>
      <c r="B101" s="12" t="s">
        <v>208</v>
      </c>
      <c r="C101" s="12" t="s">
        <v>60</v>
      </c>
      <c r="D101" s="12" t="str">
        <f t="shared" si="3"/>
        <v>South</v>
      </c>
      <c r="E101" s="12" t="s">
        <v>37</v>
      </c>
      <c r="F101" s="12" t="s">
        <v>19</v>
      </c>
      <c r="G101" s="12" t="s">
        <v>38</v>
      </c>
      <c r="H101" s="12">
        <v>12349</v>
      </c>
      <c r="I101" s="12">
        <v>28485</v>
      </c>
      <c r="J101" s="12" t="s">
        <v>21</v>
      </c>
      <c r="K101" s="12" t="s">
        <v>31</v>
      </c>
      <c r="L101" s="12" t="s">
        <v>32</v>
      </c>
      <c r="M101" s="12">
        <v>28</v>
      </c>
      <c r="N101" s="12">
        <v>14015</v>
      </c>
      <c r="O101" s="12" t="s">
        <v>39</v>
      </c>
      <c r="P101" s="12" t="s">
        <v>33</v>
      </c>
      <c r="Q101" t="str">
        <f t="shared" si="4"/>
        <v>Not Achieved</v>
      </c>
      <c r="R101" t="str">
        <f t="shared" si="5"/>
        <v>Normal</v>
      </c>
    </row>
    <row r="102" spans="1:18">
      <c r="A102" s="12" t="s">
        <v>209</v>
      </c>
      <c r="B102" s="12" t="s">
        <v>210</v>
      </c>
      <c r="C102" s="12" t="s">
        <v>47</v>
      </c>
      <c r="D102" s="12" t="str">
        <f t="shared" si="3"/>
        <v>South</v>
      </c>
      <c r="E102" s="12" t="s">
        <v>57</v>
      </c>
      <c r="F102" s="12" t="s">
        <v>19</v>
      </c>
      <c r="G102" s="12" t="s">
        <v>20</v>
      </c>
      <c r="H102" s="12">
        <v>39775</v>
      </c>
      <c r="I102" s="12">
        <v>46900</v>
      </c>
      <c r="J102" s="12" t="s">
        <v>30</v>
      </c>
      <c r="K102" s="12" t="s">
        <v>31</v>
      </c>
      <c r="L102" s="12" t="s">
        <v>44</v>
      </c>
      <c r="M102" s="12">
        <v>22</v>
      </c>
      <c r="N102" s="12">
        <v>19870</v>
      </c>
      <c r="O102" s="12" t="s">
        <v>39</v>
      </c>
      <c r="P102" s="12" t="s">
        <v>33</v>
      </c>
      <c r="Q102" t="str">
        <f t="shared" si="4"/>
        <v>Not Achieved</v>
      </c>
      <c r="R102" t="str">
        <f t="shared" si="5"/>
        <v>Normal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B1F8-0003-4DC5-BEB4-4A18E1A7C288}">
  <dimension ref="A1:C26"/>
  <sheetViews>
    <sheetView zoomScale="95" zoomScaleNormal="95" workbookViewId="0">
      <selection activeCell="E10" sqref="E10"/>
    </sheetView>
  </sheetViews>
  <sheetFormatPr defaultRowHeight="14.4"/>
  <cols>
    <col min="1" max="1" width="28.21875" bestFit="1" customWidth="1"/>
    <col min="2" max="2" width="43.5546875" bestFit="1" customWidth="1"/>
    <col min="3" max="3" width="66.88671875" bestFit="1" customWidth="1"/>
  </cols>
  <sheetData>
    <row r="1" spans="1:3" ht="15" thickBot="1"/>
    <row r="2" spans="1:3" ht="15" thickBot="1">
      <c r="A2" s="14"/>
      <c r="B2" s="15" t="s">
        <v>211</v>
      </c>
      <c r="C2" s="16" t="s">
        <v>212</v>
      </c>
    </row>
    <row r="3" spans="1:3">
      <c r="A3" s="1" t="s">
        <v>213</v>
      </c>
      <c r="B3" t="s">
        <v>214</v>
      </c>
      <c r="C3" s="2" t="s">
        <v>215</v>
      </c>
    </row>
    <row r="4" spans="1:3">
      <c r="A4" s="1"/>
      <c r="B4" t="s">
        <v>216</v>
      </c>
      <c r="C4" s="2" t="s">
        <v>217</v>
      </c>
    </row>
    <row r="5" spans="1:3">
      <c r="A5" s="1"/>
      <c r="B5" t="s">
        <v>218</v>
      </c>
      <c r="C5" s="2" t="s">
        <v>219</v>
      </c>
    </row>
    <row r="6" spans="1:3">
      <c r="A6" s="1"/>
      <c r="B6" t="s">
        <v>220</v>
      </c>
      <c r="C6" s="2"/>
    </row>
    <row r="7" spans="1:3">
      <c r="A7" s="1"/>
      <c r="C7" s="2"/>
    </row>
    <row r="8" spans="1:3">
      <c r="A8" s="1"/>
      <c r="C8" s="2"/>
    </row>
    <row r="9" spans="1:3">
      <c r="A9" s="1"/>
      <c r="C9" s="2"/>
    </row>
    <row r="10" spans="1:3">
      <c r="A10" s="1"/>
      <c r="C10" s="2"/>
    </row>
    <row r="11" spans="1:3">
      <c r="A11" s="1"/>
      <c r="C11" s="2"/>
    </row>
    <row r="12" spans="1:3">
      <c r="A12" s="1"/>
      <c r="C12" s="2"/>
    </row>
    <row r="13" spans="1:3">
      <c r="A13" s="1"/>
      <c r="C13" s="2"/>
    </row>
    <row r="14" spans="1:3">
      <c r="A14" s="1"/>
      <c r="C14" s="2"/>
    </row>
    <row r="15" spans="1:3">
      <c r="A15" s="1"/>
      <c r="C15" s="2"/>
    </row>
    <row r="16" spans="1:3" ht="15" thickBot="1">
      <c r="A16" s="1"/>
      <c r="C16" s="2"/>
    </row>
    <row r="17" spans="1:3" ht="15" thickBot="1">
      <c r="A17" s="3" t="s">
        <v>221</v>
      </c>
      <c r="B17" s="4" t="s">
        <v>222</v>
      </c>
      <c r="C17" s="5" t="s">
        <v>223</v>
      </c>
    </row>
    <row r="18" spans="1:3">
      <c r="A18" s="1"/>
      <c r="B18" s="24" t="s">
        <v>224</v>
      </c>
      <c r="C18" s="6" t="s">
        <v>225</v>
      </c>
    </row>
    <row r="19" spans="1:3">
      <c r="A19" s="1"/>
      <c r="B19" s="24"/>
      <c r="C19" s="6" t="s">
        <v>226</v>
      </c>
    </row>
    <row r="20" spans="1:3">
      <c r="A20" s="1"/>
      <c r="B20" s="24" t="s">
        <v>227</v>
      </c>
      <c r="C20" s="6" t="s">
        <v>228</v>
      </c>
    </row>
    <row r="21" spans="1:3">
      <c r="A21" s="1"/>
      <c r="B21" s="24"/>
      <c r="C21" s="6" t="s">
        <v>229</v>
      </c>
    </row>
    <row r="22" spans="1:3">
      <c r="A22" s="1"/>
      <c r="B22" s="24" t="s">
        <v>230</v>
      </c>
      <c r="C22" s="6" t="s">
        <v>231</v>
      </c>
    </row>
    <row r="23" spans="1:3">
      <c r="A23" s="1"/>
      <c r="B23" s="24"/>
      <c r="C23" s="6" t="s">
        <v>232</v>
      </c>
    </row>
    <row r="24" spans="1:3">
      <c r="A24" s="1"/>
      <c r="B24" s="24" t="s">
        <v>233</v>
      </c>
      <c r="C24" s="7" t="s">
        <v>234</v>
      </c>
    </row>
    <row r="25" spans="1:3" ht="15" thickBot="1">
      <c r="A25" s="1"/>
      <c r="B25" s="25"/>
      <c r="C25" s="8" t="s">
        <v>235</v>
      </c>
    </row>
    <row r="26" spans="1:3" ht="15" thickBot="1">
      <c r="A26" s="9"/>
      <c r="B26" s="10"/>
      <c r="C26" s="11"/>
    </row>
  </sheetData>
  <mergeCells count="4">
    <mergeCell ref="B18:B19"/>
    <mergeCell ref="B20:B21"/>
    <mergeCell ref="B22:B23"/>
    <mergeCell ref="B24:B2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C08E-3D0F-42C4-A473-02E82FD4E522}">
  <dimension ref="C4:I41"/>
  <sheetViews>
    <sheetView tabSelected="1" topLeftCell="A15" zoomScale="102" zoomScaleNormal="102" workbookViewId="0">
      <selection activeCell="F40" sqref="F40"/>
    </sheetView>
  </sheetViews>
  <sheetFormatPr defaultRowHeight="14.4"/>
  <cols>
    <col min="3" max="3" width="16.6640625" customWidth="1"/>
    <col min="4" max="4" width="17.77734375" customWidth="1"/>
    <col min="5" max="5" width="13.88671875" customWidth="1"/>
    <col min="6" max="6" width="14.6640625" customWidth="1"/>
    <col min="7" max="7" width="15.21875" customWidth="1"/>
    <col min="8" max="8" width="16.88671875" customWidth="1"/>
    <col min="9" max="9" width="17" customWidth="1"/>
  </cols>
  <sheetData>
    <row r="4" spans="3:9">
      <c r="C4" s="20" t="s">
        <v>6</v>
      </c>
      <c r="D4" s="20" t="s">
        <v>2</v>
      </c>
      <c r="E4" s="20" t="s">
        <v>240</v>
      </c>
      <c r="F4" s="20" t="s">
        <v>242</v>
      </c>
      <c r="G4" s="21" t="s">
        <v>4</v>
      </c>
      <c r="H4" s="21" t="s">
        <v>8</v>
      </c>
      <c r="I4" s="21" t="s">
        <v>247</v>
      </c>
    </row>
    <row r="5" spans="3:9">
      <c r="C5" s="12">
        <v>33542</v>
      </c>
      <c r="D5" s="12" t="s">
        <v>36</v>
      </c>
      <c r="E5" s="12">
        <v>12954</v>
      </c>
      <c r="F5" s="12">
        <v>1</v>
      </c>
      <c r="G5" s="12" t="s">
        <v>19</v>
      </c>
      <c r="H5" s="12" t="s">
        <v>21</v>
      </c>
      <c r="I5" t="e" cm="1" vm="1">
        <f t="array" aca="1" ref="I5" ca="1">IF(Sales&gt;=Target_Values,"Achieved","Not Achevied")</f>
        <v>#VALUE!</v>
      </c>
    </row>
    <row r="6" spans="3:9">
      <c r="C6" s="12">
        <v>1695</v>
      </c>
      <c r="D6" s="12" t="s">
        <v>60</v>
      </c>
      <c r="E6" s="12">
        <v>12850</v>
      </c>
      <c r="F6" s="12">
        <v>3</v>
      </c>
      <c r="G6" s="12" t="s">
        <v>29</v>
      </c>
      <c r="H6" s="12" t="s">
        <v>30</v>
      </c>
    </row>
    <row r="7" spans="3:9">
      <c r="C7" s="12">
        <v>32726</v>
      </c>
      <c r="D7" s="12" t="s">
        <v>51</v>
      </c>
      <c r="E7" s="12">
        <v>39638</v>
      </c>
      <c r="F7" s="12">
        <v>2</v>
      </c>
      <c r="G7" s="12" t="s">
        <v>19</v>
      </c>
      <c r="H7" s="12" t="s">
        <v>30</v>
      </c>
    </row>
    <row r="8" spans="3:9">
      <c r="C8" s="12">
        <v>55488</v>
      </c>
      <c r="D8" s="12" t="s">
        <v>60</v>
      </c>
      <c r="E8" s="12">
        <v>31119</v>
      </c>
      <c r="F8" s="12">
        <v>4</v>
      </c>
      <c r="G8" s="12" t="s">
        <v>19</v>
      </c>
      <c r="H8" s="12" t="s">
        <v>30</v>
      </c>
    </row>
    <row r="9" spans="3:9">
      <c r="C9" s="12">
        <v>6462</v>
      </c>
      <c r="D9" s="12" t="s">
        <v>36</v>
      </c>
      <c r="E9" s="12">
        <v>13904</v>
      </c>
      <c r="F9" s="12">
        <v>5</v>
      </c>
      <c r="G9" s="12" t="s">
        <v>29</v>
      </c>
      <c r="H9" s="12" t="s">
        <v>30</v>
      </c>
    </row>
    <row r="10" spans="3:9">
      <c r="C10" s="12">
        <v>19793</v>
      </c>
      <c r="D10" s="12" t="s">
        <v>27</v>
      </c>
      <c r="E10" s="12">
        <v>26195</v>
      </c>
      <c r="F10" s="12">
        <v>66</v>
      </c>
      <c r="G10" s="12" t="s">
        <v>19</v>
      </c>
      <c r="H10" s="12" t="s">
        <v>21</v>
      </c>
    </row>
    <row r="11" spans="3:9">
      <c r="C11" s="12">
        <v>3544</v>
      </c>
      <c r="D11" s="12" t="s">
        <v>51</v>
      </c>
      <c r="E11" s="12">
        <v>50234</v>
      </c>
      <c r="F11" s="12">
        <v>77</v>
      </c>
      <c r="G11" s="12" t="s">
        <v>19</v>
      </c>
      <c r="H11" s="12" t="s">
        <v>21</v>
      </c>
    </row>
    <row r="12" spans="3:9">
      <c r="C12" s="12">
        <v>54687</v>
      </c>
      <c r="D12" s="12" t="s">
        <v>36</v>
      </c>
      <c r="E12" s="12">
        <v>33217</v>
      </c>
      <c r="F12" s="12">
        <v>16</v>
      </c>
      <c r="G12" s="12" t="s">
        <v>29</v>
      </c>
      <c r="H12" s="12" t="s">
        <v>21</v>
      </c>
    </row>
    <row r="13" spans="3:9">
      <c r="C13" s="12">
        <v>44295</v>
      </c>
      <c r="D13" s="12" t="s">
        <v>51</v>
      </c>
      <c r="E13" s="12">
        <v>43415</v>
      </c>
      <c r="F13" s="12">
        <v>8</v>
      </c>
      <c r="G13" s="12" t="s">
        <v>29</v>
      </c>
      <c r="H13" s="12" t="s">
        <v>21</v>
      </c>
    </row>
    <row r="14" spans="3:9">
      <c r="C14" s="12">
        <v>28873</v>
      </c>
      <c r="D14" s="12" t="s">
        <v>36</v>
      </c>
      <c r="E14" s="12">
        <v>12516</v>
      </c>
      <c r="F14" s="12">
        <v>1</v>
      </c>
      <c r="G14" s="12" t="s">
        <v>29</v>
      </c>
      <c r="H14" s="12" t="s">
        <v>30</v>
      </c>
    </row>
    <row r="15" spans="3:9">
      <c r="C15" s="12">
        <v>69667</v>
      </c>
      <c r="D15" s="12" t="s">
        <v>51</v>
      </c>
      <c r="E15" s="12">
        <v>30909</v>
      </c>
      <c r="F15" s="12">
        <v>2</v>
      </c>
      <c r="G15" s="22" t="s">
        <v>19</v>
      </c>
      <c r="H15" s="12" t="s">
        <v>30</v>
      </c>
      <c r="I15">
        <v>9</v>
      </c>
    </row>
    <row r="17" spans="3:9">
      <c r="C17" t="s">
        <v>239</v>
      </c>
      <c r="E17" t="s">
        <v>241</v>
      </c>
      <c r="F17" t="s">
        <v>243</v>
      </c>
    </row>
    <row r="18" spans="3:9">
      <c r="C18">
        <f>SUM(C5:C15)</f>
        <v>350772</v>
      </c>
      <c r="E18">
        <f>SUM(E5:E15)</f>
        <v>306951</v>
      </c>
      <c r="F18">
        <f>SUM(F5:F15)</f>
        <v>185</v>
      </c>
    </row>
    <row r="20" spans="3:9">
      <c r="D20" s="26" t="s">
        <v>244</v>
      </c>
      <c r="E20" s="26"/>
    </row>
    <row r="21" spans="3:9">
      <c r="D21" t="str">
        <f>IMDIV(C18,E18)</f>
        <v>1.14276219982994</v>
      </c>
    </row>
    <row r="23" spans="3:9">
      <c r="G23" t="s">
        <v>245</v>
      </c>
    </row>
    <row r="25" spans="3:9">
      <c r="C25" s="19" t="s">
        <v>2</v>
      </c>
      <c r="F25" t="s">
        <v>246</v>
      </c>
      <c r="G25" t="s">
        <v>241</v>
      </c>
      <c r="H25" t="s">
        <v>242</v>
      </c>
      <c r="I25" t="s">
        <v>244</v>
      </c>
    </row>
    <row r="26" spans="3:9">
      <c r="C26" t="s">
        <v>17</v>
      </c>
      <c r="D26" t="s">
        <v>36</v>
      </c>
      <c r="E26">
        <f>SUMIF(Region,D26,C5:C15)</f>
        <v>123564</v>
      </c>
      <c r="F26">
        <f>SUMIF(Region,D26,Sales)</f>
        <v>123564</v>
      </c>
      <c r="G26">
        <f>SUMIF(Region,D26,Target_Values)</f>
        <v>72591</v>
      </c>
      <c r="H26">
        <f>SUMIF(Region,D26,Orders)</f>
        <v>23</v>
      </c>
      <c r="I26">
        <f ca="1">SUMIF(Region,D26,D21)</f>
        <v>0</v>
      </c>
    </row>
    <row r="27" spans="3:9">
      <c r="C27" s="12" t="s">
        <v>27</v>
      </c>
    </row>
    <row r="28" spans="3:9">
      <c r="C28" s="12" t="s">
        <v>36</v>
      </c>
    </row>
    <row r="29" spans="3:9">
      <c r="C29" s="12" t="s">
        <v>47</v>
      </c>
      <c r="G29" t="s">
        <v>248</v>
      </c>
    </row>
    <row r="30" spans="3:9">
      <c r="C30" s="12" t="s">
        <v>51</v>
      </c>
    </row>
    <row r="31" spans="3:9">
      <c r="F31" t="s">
        <v>249</v>
      </c>
    </row>
    <row r="32" spans="3:9">
      <c r="D32" s="23" t="s">
        <v>4</v>
      </c>
    </row>
    <row r="33" spans="4:7">
      <c r="D33" s="12" t="s">
        <v>19</v>
      </c>
      <c r="E33" t="s">
        <v>19</v>
      </c>
      <c r="F33">
        <f>SUMIF(Category,E33,Sales)</f>
        <v>214760</v>
      </c>
    </row>
    <row r="34" spans="4:7">
      <c r="D34" s="12" t="s">
        <v>29</v>
      </c>
    </row>
    <row r="35" spans="4:7">
      <c r="G35" t="s">
        <v>250</v>
      </c>
    </row>
    <row r="36" spans="4:7">
      <c r="D36" t="s">
        <v>8</v>
      </c>
      <c r="F36" t="s">
        <v>246</v>
      </c>
      <c r="G36" t="s">
        <v>242</v>
      </c>
    </row>
    <row r="37" spans="4:7">
      <c r="D37" s="12" t="s">
        <v>21</v>
      </c>
      <c r="E37" t="s">
        <v>21</v>
      </c>
      <c r="F37">
        <f>SUMIF(Customer_Type,E37,Sales)</f>
        <v>155861</v>
      </c>
      <c r="G37">
        <f>SUMIF(Customer_Type,E37,Orders)</f>
        <v>168</v>
      </c>
    </row>
    <row r="38" spans="4:7">
      <c r="D38" s="12" t="s">
        <v>30</v>
      </c>
    </row>
    <row r="39" spans="4:7">
      <c r="G39" t="s">
        <v>251</v>
      </c>
    </row>
    <row r="40" spans="4:7">
      <c r="G40">
        <f ca="1">SUMIFS(C:C,I:I,"Achieved")</f>
        <v>0</v>
      </c>
    </row>
    <row r="41" spans="4:7">
      <c r="G41">
        <f ca="1">SUMIFS(C:C,I:I,"Not Achevied")</f>
        <v>0</v>
      </c>
    </row>
  </sheetData>
  <mergeCells count="1">
    <mergeCell ref="D20:E20"/>
  </mergeCells>
  <dataValidations count="5">
    <dataValidation type="list" allowBlank="1" showInputMessage="1" showErrorMessage="1" sqref="I6" xr:uid="{9E708EA8-B3FE-4BC8-9219-3979915E814F}">
      <formula1>$I$6:$I$9</formula1>
    </dataValidation>
    <dataValidation type="list" allowBlank="1" showInputMessage="1" showErrorMessage="1" sqref="M6" xr:uid="{985497A6-6195-4C5A-AF8A-4793434A44A7}">
      <formula1>$L$5:$L$9</formula1>
    </dataValidation>
    <dataValidation type="list" allowBlank="1" showInputMessage="1" showErrorMessage="1" sqref="D26" xr:uid="{D7E1316B-2B6E-436D-91BD-8FE860029D79}">
      <formula1>$C$25:$C$30</formula1>
    </dataValidation>
    <dataValidation type="list" allowBlank="1" showInputMessage="1" showErrorMessage="1" sqref="E33" xr:uid="{FEBF345F-E235-45FE-ABE3-D8C4D20045C7}">
      <formula1>$D$32:$D$34</formula1>
    </dataValidation>
    <dataValidation type="list" allowBlank="1" showInputMessage="1" showErrorMessage="1" sqref="E37" xr:uid="{297516E2-7E4D-4185-B563-54E7BBD2C786}">
      <formula1>$D$36:$D$38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Dataset</vt:lpstr>
      <vt:lpstr>Instructions</vt:lpstr>
      <vt:lpstr>Sheet2</vt:lpstr>
      <vt:lpstr>Category</vt:lpstr>
      <vt:lpstr>Customer_Type</vt:lpstr>
      <vt:lpstr>Orders</vt:lpstr>
      <vt:lpstr>Region</vt:lpstr>
      <vt:lpstr>Sales</vt:lpstr>
      <vt:lpstr>Target_Values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pavithra vavilapalli</cp:lastModifiedBy>
  <dcterms:created xsi:type="dcterms:W3CDTF">2026-04-17T10:11:58Z</dcterms:created>
  <dcterms:modified xsi:type="dcterms:W3CDTF">2026-04-18T15:30:41Z</dcterms:modified>
</cp:coreProperties>
</file>